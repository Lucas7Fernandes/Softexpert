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/>
  <mc:AlternateContent xmlns:mc="http://schemas.openxmlformats.org/markup-compatibility/2006">
    <mc:Choice Requires="x15">
      <x15ac:absPath xmlns:x15ac="http://schemas.microsoft.com/office/spreadsheetml/2010/11/ac" url="https://planoeplano-my.sharepoint.com/personal/lucas_fernandes_planoeplano_com_br/Documents/Área de Trabalho/Softexpert/Teste/"/>
    </mc:Choice>
  </mc:AlternateContent>
  <xr:revisionPtr revIDLastSave="406" documentId="11_C24A341F8ED520438A3C56126D326013BF438F93" xr6:coauthVersionLast="47" xr6:coauthVersionMax="47" xr10:uidLastSave="{435F1CFB-BC69-4F0D-A827-CA649980AA69}"/>
  <bookViews>
    <workbookView xWindow="2660" yWindow="2660" windowWidth="14400" windowHeight="8170" tabRatio="500" firstSheet="1" activeTab="2" xr2:uid="{00000000-000D-0000-FFFF-FFFF00000000}"/>
  </bookViews>
  <sheets>
    <sheet name="Programa" sheetId="1" r:id="rId1"/>
    <sheet name="Projetos" sheetId="2" r:id="rId2"/>
    <sheet name="Etapas" sheetId="3" r:id="rId3"/>
    <sheet name="Módulos" sheetId="4" state="hidden" r:id="rId4"/>
    <sheet name="Riscos, Decisões e Conquistas" sheetId="5" r:id="rId5"/>
    <sheet name="Historico" sheetId="10" r:id="rId6"/>
    <sheet name="Organograma" sheetId="6" r:id="rId7"/>
    <sheet name="RACI" sheetId="7" r:id="rId8"/>
    <sheet name="Capacitação" sheetId="8" r:id="rId9"/>
    <sheet name="Budget" sheetId="9" r:id="rId10"/>
  </sheets>
  <definedNames>
    <definedName name="_xlnm._FilterDatabase" localSheetId="9" hidden="1">Budget!#REF!</definedName>
    <definedName name="_xlnm._FilterDatabase" localSheetId="8" hidden="1">Capacitação!$A$1:$D$5</definedName>
    <definedName name="_xlnm._FilterDatabase" localSheetId="2" hidden="1">Etapas!$A$1:$F$47</definedName>
    <definedName name="_xlnm._FilterDatabase" localSheetId="3" hidden="1">Módulos!$A$1:$H$11</definedName>
    <definedName name="_xlnm._FilterDatabase" localSheetId="1" hidden="1">Projetos!$A$1:$K$10</definedName>
    <definedName name="_xlnm._FilterDatabase" localSheetId="4" hidden="1">'Riscos, Decisões e Conquistas'!$A$1:$K$7</definedName>
    <definedName name="_xlnm._FilterDatabase" localSheetId="6" hidden="1">Organograma!$A$1:$E$63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" l="1"/>
  <c r="D5" i="8"/>
  <c r="D4" i="8"/>
  <c r="D3" i="8"/>
  <c r="D2" i="8"/>
</calcChain>
</file>

<file path=xl/sharedStrings.xml><?xml version="1.0" encoding="utf-8"?>
<sst xmlns="http://schemas.openxmlformats.org/spreadsheetml/2006/main" count="1146" uniqueCount="366">
  <si>
    <t>Campo</t>
  </si>
  <si>
    <t>Valor</t>
  </si>
  <si>
    <t>Nome do Programa</t>
  </si>
  <si>
    <t>Implantação SoftExpert</t>
  </si>
  <si>
    <t>Subtítulo</t>
  </si>
  <si>
    <t>Status Report Executivo</t>
  </si>
  <si>
    <t>Data de Atualização</t>
  </si>
  <si>
    <t>ID</t>
  </si>
  <si>
    <t>Projeto</t>
  </si>
  <si>
    <t>Área</t>
  </si>
  <si>
    <t>Responsável</t>
  </si>
  <si>
    <t>Status</t>
  </si>
  <si>
    <t>Fase Atual</t>
  </si>
  <si>
    <t>% Avanço</t>
  </si>
  <si>
    <t>Início Planejado</t>
  </si>
  <si>
    <t>Início Real</t>
  </si>
  <si>
    <t>Fim Planejado</t>
  </si>
  <si>
    <t>Fim Real</t>
  </si>
  <si>
    <t>Auto</t>
  </si>
  <si>
    <t>Nome do projeto</t>
  </si>
  <si>
    <t>Área impactada</t>
  </si>
  <si>
    <t>Nome do GP</t>
  </si>
  <si>
    <t>No Prazo / Atenção / Crítico / Concluído / Não Iniciado</t>
  </si>
  <si>
    <t>Discovery / Config. / Homol. / Go-Live / Estab.</t>
  </si>
  <si>
    <t>0-100</t>
  </si>
  <si>
    <t>DD/MM/AAAA</t>
  </si>
  <si>
    <t>P01</t>
  </si>
  <si>
    <t>Incorporação</t>
  </si>
  <si>
    <t>Lucas Fernandes</t>
  </si>
  <si>
    <t>No prazo</t>
  </si>
  <si>
    <t>Discovery</t>
  </si>
  <si>
    <t>P02</t>
  </si>
  <si>
    <t>Novos Negócios</t>
  </si>
  <si>
    <t>P03</t>
  </si>
  <si>
    <t>Gestão de Contratos</t>
  </si>
  <si>
    <t>Jurídico</t>
  </si>
  <si>
    <t>Fernando Fujii</t>
  </si>
  <si>
    <t>P04</t>
  </si>
  <si>
    <t>GRC</t>
  </si>
  <si>
    <t>Riscos E Controles Internos</t>
  </si>
  <si>
    <t>No Prazo</t>
  </si>
  <si>
    <t>P05</t>
  </si>
  <si>
    <t>Auditoria Interna</t>
  </si>
  <si>
    <t>Auditoria</t>
  </si>
  <si>
    <t>Não Iniciado</t>
  </si>
  <si>
    <t>Backlog</t>
  </si>
  <si>
    <t>P06</t>
  </si>
  <si>
    <t>Captação de Recursos</t>
  </si>
  <si>
    <t>P07</t>
  </si>
  <si>
    <t>Portal de Fornecedores</t>
  </si>
  <si>
    <t>Engenharia</t>
  </si>
  <si>
    <t>P08</t>
  </si>
  <si>
    <t>Engenharia Pré Obra</t>
  </si>
  <si>
    <t>P09</t>
  </si>
  <si>
    <t>TI/ITSM/GMUD</t>
  </si>
  <si>
    <t>TI</t>
  </si>
  <si>
    <t>P10</t>
  </si>
  <si>
    <t>Qualidade</t>
  </si>
  <si>
    <t>P11</t>
  </si>
  <si>
    <t>Contas a Receber</t>
  </si>
  <si>
    <t>P12</t>
  </si>
  <si>
    <t>Financeiro</t>
  </si>
  <si>
    <t>P13</t>
  </si>
  <si>
    <t>Engenharia - Entrega</t>
  </si>
  <si>
    <t>P14</t>
  </si>
  <si>
    <t>Engenharia - Execução</t>
  </si>
  <si>
    <t>P15</t>
  </si>
  <si>
    <t>Engenharia - Legalização</t>
  </si>
  <si>
    <t>ID Projeto</t>
  </si>
  <si>
    <t>Etapa</t>
  </si>
  <si>
    <t>Ref. aba Projetos</t>
  </si>
  <si>
    <t>Auto (PROCV)</t>
  </si>
  <si>
    <t>Nome da etapa</t>
  </si>
  <si>
    <t>Concluído / Em andamento / Atenção / Não Iniciado</t>
  </si>
  <si>
    <t>Kick Off</t>
  </si>
  <si>
    <t>Nov/2025</t>
  </si>
  <si>
    <t>Concluído</t>
  </si>
  <si>
    <t>Macro Levantamento</t>
  </si>
  <si>
    <t>Jan/2026</t>
  </si>
  <si>
    <t>Levantamento Detalhado</t>
  </si>
  <si>
    <t>Migração de dados</t>
  </si>
  <si>
    <t>Out/2025</t>
  </si>
  <si>
    <t>Atenção</t>
  </si>
  <si>
    <t>Go-Live e estabilização</t>
  </si>
  <si>
    <t>Dez/2025</t>
  </si>
  <si>
    <t>Em andamento</t>
  </si>
  <si>
    <t>Levantamento de requisitos</t>
  </si>
  <si>
    <t>Set/2025</t>
  </si>
  <si>
    <t>Configuração dos módulos</t>
  </si>
  <si>
    <t>Homologação e testes</t>
  </si>
  <si>
    <t>Fev/2026</t>
  </si>
  <si>
    <t>Treinamento de usuários</t>
  </si>
  <si>
    <t>Mar/2026</t>
  </si>
  <si>
    <t>Abr/2026</t>
  </si>
  <si>
    <t>Modelagem de processos AS-IS</t>
  </si>
  <si>
    <t>Configuração e automação</t>
  </si>
  <si>
    <t>Mai/2026</t>
  </si>
  <si>
    <t>Configuração da matriz de riscos</t>
  </si>
  <si>
    <t>Jun/2026</t>
  </si>
  <si>
    <t>Jul/2026</t>
  </si>
  <si>
    <t>Definição de framework de KPIs</t>
  </si>
  <si>
    <t>Configuração do painel</t>
  </si>
  <si>
    <t>Ago/2026</t>
  </si>
  <si>
    <t>Set/2026</t>
  </si>
  <si>
    <t>Out/2026</t>
  </si>
  <si>
    <t>ITSM</t>
  </si>
  <si>
    <t>Módulo</t>
  </si>
  <si>
    <t>Status Geral</t>
  </si>
  <si>
    <t>Config.</t>
  </si>
  <si>
    <t>Homologação</t>
  </si>
  <si>
    <t>Go-Live</t>
  </si>
  <si>
    <t>Responsável Técnico</t>
  </si>
  <si>
    <t>Ref.</t>
  </si>
  <si>
    <t>Nome do módulo</t>
  </si>
  <si>
    <t>Go-Live / Homologação / Config. / Discovery / Backlog / Não Iniciado</t>
  </si>
  <si>
    <t>Concluído / Em andamento / Pendente</t>
  </si>
  <si>
    <t>Nome</t>
  </si>
  <si>
    <t>Kanban</t>
  </si>
  <si>
    <t>Lucas Norato</t>
  </si>
  <si>
    <t>Core Business</t>
  </si>
  <si>
    <t>Pendente</t>
  </si>
  <si>
    <t>Ana Martins</t>
  </si>
  <si>
    <t>Carlos Silva</t>
  </si>
  <si>
    <t>Fernanda Rocha</t>
  </si>
  <si>
    <t>Roberto Almeida</t>
  </si>
  <si>
    <t>Patrícia Lima</t>
  </si>
  <si>
    <t>Tipo</t>
  </si>
  <si>
    <t>Descrição</t>
  </si>
  <si>
    <t>Projeto Relacionado</t>
  </si>
  <si>
    <t>Severidade</t>
  </si>
  <si>
    <t>Impacto</t>
  </si>
  <si>
    <t>Categoria</t>
  </si>
  <si>
    <t>Ação de Mitigação</t>
  </si>
  <si>
    <t>Data Abertura</t>
  </si>
  <si>
    <t>Previsão Conclusão</t>
  </si>
  <si>
    <t>Risco / Impedimento / Decisão / Conquista</t>
  </si>
  <si>
    <t>Descrição detalhada</t>
  </si>
  <si>
    <t>Alto / Médio / Baixo</t>
  </si>
  <si>
    <t>Alto / Médio / Baixo / Crítico</t>
  </si>
  <si>
    <t>Cronograma / Escopo / Adoção / Custo</t>
  </si>
  <si>
    <t>Plano de ação</t>
  </si>
  <si>
    <t>Aberto / Mitigando / Bloqueado / Em tratamento / Pendente / Concluído</t>
  </si>
  <si>
    <t>R01</t>
  </si>
  <si>
    <t>Risco</t>
  </si>
  <si>
    <t>Atraso na alocação de key users de Riscos</t>
  </si>
  <si>
    <t>Gestão de Riscos</t>
  </si>
  <si>
    <t>Alto</t>
  </si>
  <si>
    <t>Cronograma</t>
  </si>
  <si>
    <t>Solicitar reforço via Presidência</t>
  </si>
  <si>
    <t>Aberto</t>
  </si>
  <si>
    <t>10/01/2026</t>
  </si>
  <si>
    <t>R02</t>
  </si>
  <si>
    <t>Integração com ERP legado (SAP) com escopo indefinido</t>
  </si>
  <si>
    <t>Gestão de Processos (BPM)</t>
  </si>
  <si>
    <t>Escopo</t>
  </si>
  <si>
    <t>Workshop técnico agendado para 18/02</t>
  </si>
  <si>
    <t>Thiago Gomes</t>
  </si>
  <si>
    <t>15/01/2026</t>
  </si>
  <si>
    <t>I01</t>
  </si>
  <si>
    <t>Impedimento</t>
  </si>
  <si>
    <t>Aprovação de orçamento para licenças de Fornecedores</t>
  </si>
  <si>
    <t>Gestão de Fornecedores</t>
  </si>
  <si>
    <t>Crítico</t>
  </si>
  <si>
    <t>Custo</t>
  </si>
  <si>
    <t>Aguardando aprovação da Presidência</t>
  </si>
  <si>
    <t>Diretoria Financeira</t>
  </si>
  <si>
    <t>Bloqueado</t>
  </si>
  <si>
    <t>20/01/2026</t>
  </si>
  <si>
    <t>I02</t>
  </si>
  <si>
    <t>Ambiente de homologação com performance degradada</t>
  </si>
  <si>
    <t>Infraestrutura</t>
  </si>
  <si>
    <t>Médio</t>
  </si>
  <si>
    <t>Ticket aberto com Softexpert</t>
  </si>
  <si>
    <t>Rafael Nunes</t>
  </si>
  <si>
    <t>Em tratamento</t>
  </si>
  <si>
    <t>03/02/2026</t>
  </si>
  <si>
    <t>I03</t>
  </si>
  <si>
    <t>Taxonomia corporativa de processos pendente</t>
  </si>
  <si>
    <t>Comitê de Processos em definição</t>
  </si>
  <si>
    <t>D09</t>
  </si>
  <si>
    <t>Decisão</t>
  </si>
  <si>
    <t>Aprovar alocação de 2 recursos adicionais do time de TI para Gestão de Riscos</t>
  </si>
  <si>
    <t>Presidência</t>
  </si>
  <si>
    <t>20/02/2026</t>
  </si>
  <si>
    <t> </t>
  </si>
  <si>
    <t>D10</t>
  </si>
  <si>
    <t>Definir prioridade entre Indicadores e Fornecedores para alocação de key users Q2</t>
  </si>
  <si>
    <t>28/02/2026</t>
  </si>
  <si>
    <t>D11</t>
  </si>
  <si>
    <t>Validar orçamento adicional de R$ 85K para treinamentos avançados Softexpert</t>
  </si>
  <si>
    <t>15/03/2026</t>
  </si>
  <si>
    <t>C01</t>
  </si>
  <si>
    <t>Conquista</t>
  </si>
  <si>
    <t xml:space="preserve">Kanban Qualidade - Permite que a área faça gestão das atividades do time através da solução. </t>
  </si>
  <si>
    <t>11/02/2026</t>
  </si>
  <si>
    <t>C02</t>
  </si>
  <si>
    <t>Implementação de SSO – Permite que o usuário acesse o sistema automaticamente, usando o mesmo login que já está conectado na sua máquina, sem precisar digitar senha novamente.</t>
  </si>
  <si>
    <t>30/01/2026</t>
  </si>
  <si>
    <t>Data</t>
  </si>
  <si>
    <t>% Avanço Geral</t>
  </si>
  <si>
    <t>Média dos projetos (0-100)</t>
  </si>
  <si>
    <t>Nível</t>
  </si>
  <si>
    <t>Papel</t>
  </si>
  <si>
    <t>Cargo / Título</t>
  </si>
  <si>
    <t>Sponsor / Comitê Exec. / Gestão / Líder Arq. / Decisor Go-NoGo / Time Projeto</t>
  </si>
  <si>
    <t>Papel no programa</t>
  </si>
  <si>
    <t>Nome completo</t>
  </si>
  <si>
    <t>Cargo na empresa</t>
  </si>
  <si>
    <t>Área de negócio</t>
  </si>
  <si>
    <t>Sponsor</t>
  </si>
  <si>
    <t>Sponsor Executivo</t>
  </si>
  <si>
    <t>Rodrigo Fairbanks von Uhlendorff</t>
  </si>
  <si>
    <t>Presidente</t>
  </si>
  <si>
    <t>Comitê Executivo</t>
  </si>
  <si>
    <t>Membro do Comitê</t>
  </si>
  <si>
    <t>Henrique Hildebrand Garcia</t>
  </si>
  <si>
    <t>Diretor Jurídico</t>
  </si>
  <si>
    <t>Leonardo Araujo</t>
  </si>
  <si>
    <t>Diretor De Operacoes Financeiras e TI</t>
  </si>
  <si>
    <t>Operacoes Financeiras e TI</t>
  </si>
  <si>
    <t>Marco Cardoso</t>
  </si>
  <si>
    <t>Superintendente de TI</t>
  </si>
  <si>
    <t>Tecnologia da Informação</t>
  </si>
  <si>
    <t>Renee Silveira</t>
  </si>
  <si>
    <t>Diretora De Incorporação</t>
  </si>
  <si>
    <t>Gestão do Programa</t>
  </si>
  <si>
    <t>Gerente de Projetos</t>
  </si>
  <si>
    <t>Fabio Jonas</t>
  </si>
  <si>
    <t>Gerente De Riscos E Controles Internos</t>
  </si>
  <si>
    <t>Fernando Hideo Fujii</t>
  </si>
  <si>
    <t>Gerente de Programa</t>
  </si>
  <si>
    <t>Coordenador de Sistemas</t>
  </si>
  <si>
    <t>Claudio Ferreira</t>
  </si>
  <si>
    <t>DBD - Gerente de Projetos</t>
  </si>
  <si>
    <t>DBD</t>
  </si>
  <si>
    <t>Leonardo Bazzo Scurupa</t>
  </si>
  <si>
    <t>SoftExpert - Gerente de Projetos</t>
  </si>
  <si>
    <t>SoftExpert</t>
  </si>
  <si>
    <t>Líder Arquitetura/Infra</t>
  </si>
  <si>
    <t>Líder de Arquitetura</t>
  </si>
  <si>
    <t>Marco Andres Quezada</t>
  </si>
  <si>
    <t>Gerente de Infraestrutura</t>
  </si>
  <si>
    <t>Rodrigo Bernardo</t>
  </si>
  <si>
    <t>Decisor Go-NoGo</t>
  </si>
  <si>
    <t>Gerente de Sistemas</t>
  </si>
  <si>
    <t>Luiz Antonio Novaes</t>
  </si>
  <si>
    <t>Líderes de Negócios</t>
  </si>
  <si>
    <t>Time Projeto</t>
  </si>
  <si>
    <t xml:space="preserve">Analista de Sistemas </t>
  </si>
  <si>
    <t>Luciano da Rocha Rafael</t>
  </si>
  <si>
    <t>Vinicius França Nascimento</t>
  </si>
  <si>
    <t>Líder de Projeto</t>
  </si>
  <si>
    <t>Andreza Benatti</t>
  </si>
  <si>
    <t xml:space="preserve">Consultor </t>
  </si>
  <si>
    <t>Marcelo Ferreira</t>
  </si>
  <si>
    <t>Consultor Projeto: Engenharia</t>
  </si>
  <si>
    <t>Andre Sterzza</t>
  </si>
  <si>
    <t>Consultor Projeto: Contratos</t>
  </si>
  <si>
    <t>Cristian Quadros</t>
  </si>
  <si>
    <t>Consultor Projeto: Contas a Receber</t>
  </si>
  <si>
    <t>Daiane Leite</t>
  </si>
  <si>
    <t>Consultor Projeto: TI/ITSM/GMUD</t>
  </si>
  <si>
    <t>Dany Zoboli</t>
  </si>
  <si>
    <t>Consultor Projeto: Core Business; Captação; Contratação</t>
  </si>
  <si>
    <t>Donato de Avila</t>
  </si>
  <si>
    <t>Consultor Projeto:GRC; Auditoria Interna</t>
  </si>
  <si>
    <t>Janaina Azevedo</t>
  </si>
  <si>
    <t>Consultor Projeto: Portal do Fornecedor; Qualidade</t>
  </si>
  <si>
    <t>Neimar Carvalho</t>
  </si>
  <si>
    <t>Key User N1</t>
  </si>
  <si>
    <t>Mayara Santos</t>
  </si>
  <si>
    <t>Coordenadora De Novos Negocios</t>
  </si>
  <si>
    <t>Key User N2</t>
  </si>
  <si>
    <t>Laura Barbosa Ribeiro</t>
  </si>
  <si>
    <t>Assistente de Novos Negócios</t>
  </si>
  <si>
    <t>Gina De Giuseppe</t>
  </si>
  <si>
    <t>Coordenadora De Incorporacao</t>
  </si>
  <si>
    <t>Luciana Vieira</t>
  </si>
  <si>
    <t>Gerente de Incorporação</t>
  </si>
  <si>
    <t>Adriana Bittencourt</t>
  </si>
  <si>
    <t>Gerente Jurídico</t>
  </si>
  <si>
    <t>Alexandre Tavares de Gouvea</t>
  </si>
  <si>
    <t>Gabriela Costa do Nascimento</t>
  </si>
  <si>
    <t>Advogado SR</t>
  </si>
  <si>
    <t>Pedro Henrique de Oliveira</t>
  </si>
  <si>
    <t>SLO - Terceiro</t>
  </si>
  <si>
    <t>Tadashi Sato</t>
  </si>
  <si>
    <t>Luciana de Carvalho Cavalcante</t>
  </si>
  <si>
    <t xml:space="preserve">Coordenadora Juridico  </t>
  </si>
  <si>
    <t>Eduardo Cerri</t>
  </si>
  <si>
    <t>Planejamento e Relação com Investidores</t>
  </si>
  <si>
    <t>Rodrigo Kawakami</t>
  </si>
  <si>
    <t>Vanessa Kato</t>
  </si>
  <si>
    <t>Stand</t>
  </si>
  <si>
    <t>Superintendente</t>
  </si>
  <si>
    <t>Marcos Souza</t>
  </si>
  <si>
    <t>Viabilidade Economica</t>
  </si>
  <si>
    <t>Adriana Brasca Raposo</t>
  </si>
  <si>
    <t>Bruna Fernandes</t>
  </si>
  <si>
    <t>Aprovações</t>
  </si>
  <si>
    <t>Elmo Kanashiro</t>
  </si>
  <si>
    <t>Fabiana Passos</t>
  </si>
  <si>
    <t>Inteligência de Mercado</t>
  </si>
  <si>
    <t>Sagar Kuzhiparambil Prakasan</t>
  </si>
  <si>
    <t>Sandra Trombeli</t>
  </si>
  <si>
    <t>Projetos</t>
  </si>
  <si>
    <t>Paulo Gambini</t>
  </si>
  <si>
    <t>Carlos Morais</t>
  </si>
  <si>
    <t>Silvia Reis</t>
  </si>
  <si>
    <t>Planejamento e Custos</t>
  </si>
  <si>
    <t>Juan Sosa</t>
  </si>
  <si>
    <t>Infraestrutura Urbana</t>
  </si>
  <si>
    <t>Wilson</t>
  </si>
  <si>
    <t>Controladoria de Obras</t>
  </si>
  <si>
    <t>Barbara Rodrigues Barreto</t>
  </si>
  <si>
    <t>Deise Gomes Freire Xavier</t>
  </si>
  <si>
    <t>Adriana Geraldo</t>
  </si>
  <si>
    <t>Aline Valeiro</t>
  </si>
  <si>
    <t>Paloma Pereira</t>
  </si>
  <si>
    <t>Viabilidade Arquitetônica</t>
  </si>
  <si>
    <t>Atividade</t>
  </si>
  <si>
    <t>Sponsor
(Ricardo S.)</t>
  </si>
  <si>
    <t>Comitê Exec.</t>
  </si>
  <si>
    <t>Ger. Programa
(Lucas F.)</t>
  </si>
  <si>
    <t>Líder Arq.
(Thiago G.)</t>
  </si>
  <si>
    <t>Decisores
Go-NoGo</t>
  </si>
  <si>
    <t>Key Users
(Time)</t>
  </si>
  <si>
    <t>Nome da atividade</t>
  </si>
  <si>
    <t>R / A / C / I</t>
  </si>
  <si>
    <t>Definição de escopo e requisitos</t>
  </si>
  <si>
    <t>A</t>
  </si>
  <si>
    <t>C</t>
  </si>
  <si>
    <t>R</t>
  </si>
  <si>
    <t>I</t>
  </si>
  <si>
    <t>Homologação / Testes de aceitação</t>
  </si>
  <si>
    <t>Decisão de Go-NoGo por fase</t>
  </si>
  <si>
    <t>Gestão de mudanças e comunicação</t>
  </si>
  <si>
    <t>Treinamento de usuários finais</t>
  </si>
  <si>
    <t>Integração com sistemas legados (SAP)</t>
  </si>
  <si>
    <t>Monitoramento de riscos e impedimentos</t>
  </si>
  <si>
    <t>Aprovação de budget e recursos</t>
  </si>
  <si>
    <t>Legenda:</t>
  </si>
  <si>
    <t>R = Responsável</t>
  </si>
  <si>
    <t>A = Aprovador</t>
  </si>
  <si>
    <t>C = Consultado</t>
  </si>
  <si>
    <t>I = Informado</t>
  </si>
  <si>
    <t>Indicador</t>
  </si>
  <si>
    <t>Realizado</t>
  </si>
  <si>
    <t>Meta</t>
  </si>
  <si>
    <t>% Atingido</t>
  </si>
  <si>
    <t>Key Users Capacitados</t>
  </si>
  <si>
    <t>Usuários Finais Treinados</t>
  </si>
  <si>
    <t>Sessões de Treinamento Realizadas</t>
  </si>
  <si>
    <t>Satisfação dos Treinamentos (NPS)</t>
  </si>
  <si>
    <t>Fornecedor</t>
  </si>
  <si>
    <t>Orçado (R$)</t>
  </si>
  <si>
    <t>Ex: Consultoria</t>
  </si>
  <si>
    <t>Nome do fornecedor</t>
  </si>
  <si>
    <t>Valor total orçado</t>
  </si>
  <si>
    <t>Licenças Softexpert</t>
  </si>
  <si>
    <t>Consultoria &amp; Implantação</t>
  </si>
  <si>
    <t>Treinamentos</t>
  </si>
  <si>
    <t>Plano&amp;Plano (interno)</t>
  </si>
  <si>
    <t>Integração</t>
  </si>
  <si>
    <t>AWS</t>
  </si>
  <si>
    <t>Contingência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</si>
</sst>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"/>
    <numFmt numFmtId="166" formatCode="&quot;R$&quot;\ #,##0.00"/>
  </numFmts>
  <fonts count="14">
    <font>
      <sz val="11"/>
      <color theme="1"/>
      <name val="Calibri"/>
      <family val="2"/>
      <charset val="1"/>
    </font>
    <font>
      <b/>
      <sz val="11"/>
      <color rgb="FFFFFFFF"/>
      <name val="Arial"/>
      <charset val="1"/>
    </font>
    <font>
      <sz val="10"/>
      <name val="Arial"/>
      <charset val="1"/>
    </font>
    <font>
      <sz val="10"/>
      <color rgb="FF0000FF"/>
      <name val="Arial"/>
      <charset val="1"/>
    </font>
    <font>
      <i/>
      <sz val="10"/>
      <color rgb="FF888888"/>
      <name val="Arial"/>
      <charset val="1"/>
    </font>
    <font>
      <b/>
      <sz val="10"/>
      <color rgb="FF1B2A4A"/>
      <name val="Arial"/>
      <charset val="1"/>
    </font>
    <font>
      <sz val="10"/>
      <color rgb="FF1B2A4A"/>
      <name val="Arial"/>
      <charset val="1"/>
    </font>
    <font>
      <i/>
      <sz val="9"/>
      <color rgb="FF888888"/>
      <name val="Arial"/>
      <charset val="1"/>
    </font>
    <font>
      <b/>
      <sz val="11"/>
      <color rgb="FFFFFFFF"/>
      <name val="Arial"/>
    </font>
    <font>
      <i/>
      <sz val="9"/>
      <color rgb="FF888888"/>
      <name val="Arial"/>
    </font>
    <font>
      <sz val="10"/>
      <name val="Arial"/>
    </font>
    <font>
      <sz val="11"/>
      <color rgb="FF000000"/>
      <name val="Calibri"/>
      <family val="2"/>
      <charset val="1"/>
    </font>
    <font>
      <sz val="10"/>
      <color rgb="FF0000FF"/>
      <name val="Arial"/>
    </font>
    <font>
      <sz val="11"/>
      <color rgb="FF242424"/>
      <name val="Aptos Narrow"/>
      <charset val="1"/>
    </font>
  </fonts>
  <fills count="13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FFFFFF"/>
        <bgColor rgb="FFF0F0F0"/>
      </patternFill>
    </fill>
    <fill>
      <patternFill patternType="solid">
        <fgColor rgb="FFF0F0F0"/>
        <bgColor rgb="FFECEAE6"/>
      </patternFill>
    </fill>
    <fill>
      <patternFill patternType="solid">
        <fgColor rgb="FFF59E0B"/>
        <bgColor rgb="FFFFCC00"/>
      </patternFill>
    </fill>
    <fill>
      <patternFill patternType="solid">
        <fgColor rgb="FFE8584F"/>
        <bgColor rgb="FFFF8080"/>
      </patternFill>
    </fill>
    <fill>
      <patternFill patternType="solid">
        <fgColor rgb="FFECEAE6"/>
        <bgColor rgb="FFF0F0F0"/>
      </patternFill>
    </fill>
    <fill>
      <patternFill patternType="solid">
        <fgColor rgb="FFFFFFFF"/>
      </patternFill>
    </fill>
    <fill>
      <patternFill patternType="solid">
        <fgColor rgb="FF1B2A4A"/>
      </patternFill>
    </fill>
    <fill>
      <patternFill patternType="solid">
        <fgColor rgb="FFF0F0F0"/>
      </patternFill>
    </fill>
    <fill>
      <patternFill patternType="solid">
        <fgColor rgb="FF1B2A4A"/>
        <bgColor rgb="FF000000"/>
      </patternFill>
    </fill>
    <fill>
      <patternFill patternType="solid">
        <fgColor rgb="FFF0F0F0"/>
        <bgColor rgb="FF000000"/>
      </patternFill>
    </fill>
  </fills>
  <borders count="6">
    <border>
      <left/>
      <right/>
      <top/>
      <bottom/>
      <diagonal/>
    </border>
    <border>
      <left style="thin">
        <color rgb="FFECEAE6"/>
      </left>
      <right style="thin">
        <color rgb="FFECEAE6"/>
      </right>
      <top style="thin">
        <color rgb="FFECEAE6"/>
      </top>
      <bottom style="thin">
        <color rgb="FFECEAE6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</borders>
  <cellStyleXfs count="1">
    <xf numFmtId="0" fontId="0" fillId="0" borderId="0"/>
  </cellStyleXfs>
  <cellXfs count="42">
    <xf numFmtId="0" fontId="0" fillId="0" borderId="0" xfId="0"/>
    <xf numFmtId="0" fontId="5" fillId="3" borderId="1" xfId="0" applyFont="1" applyFill="1" applyBorder="1" applyAlignment="1">
      <alignment horizontal="left" vertical="center" wrapText="1"/>
    </xf>
    <xf numFmtId="0" fontId="6" fillId="3" borderId="1" xfId="0" applyFont="1" applyFill="1" applyBorder="1" applyAlignment="1">
      <alignment horizontal="left" vertical="center" wrapText="1"/>
    </xf>
    <xf numFmtId="164" fontId="6" fillId="3" borderId="1" xfId="0" applyNumberFormat="1" applyFont="1" applyFill="1" applyBorder="1" applyAlignment="1">
      <alignment horizontal="left" vertical="center" wrapText="1"/>
    </xf>
    <xf numFmtId="0" fontId="8" fillId="9" borderId="2" xfId="0" applyFont="1" applyFill="1" applyBorder="1" applyAlignment="1">
      <alignment horizontal="center" vertical="center" wrapText="1"/>
    </xf>
    <xf numFmtId="0" fontId="0" fillId="8" borderId="0" xfId="0" applyFill="1"/>
    <xf numFmtId="0" fontId="9" fillId="10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vertical="center" wrapText="1"/>
    </xf>
    <xf numFmtId="14" fontId="10" fillId="8" borderId="2" xfId="0" applyNumberFormat="1" applyFont="1" applyFill="1" applyBorder="1" applyAlignment="1">
      <alignment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vertical="center" wrapText="1"/>
    </xf>
    <xf numFmtId="0" fontId="3" fillId="3" borderId="2" xfId="0" applyFont="1" applyFill="1" applyBorder="1" applyAlignment="1">
      <alignment vertical="center" wrapText="1"/>
    </xf>
    <xf numFmtId="0" fontId="4" fillId="3" borderId="2" xfId="0" applyFont="1" applyFill="1" applyBorder="1" applyAlignment="1">
      <alignment vertical="center" wrapText="1"/>
    </xf>
    <xf numFmtId="0" fontId="7" fillId="4" borderId="2" xfId="0" applyFont="1" applyFill="1" applyBorder="1" applyAlignment="1">
      <alignment horizontal="center" vertical="center" wrapText="1"/>
    </xf>
    <xf numFmtId="0" fontId="6" fillId="0" borderId="2" xfId="0" applyFont="1" applyBorder="1" applyAlignment="1">
      <alignment vertical="center" wrapText="1"/>
    </xf>
    <xf numFmtId="9" fontId="6" fillId="0" borderId="2" xfId="0" applyNumberFormat="1" applyFont="1" applyBorder="1" applyAlignment="1">
      <alignment vertical="center" wrapText="1"/>
    </xf>
    <xf numFmtId="14" fontId="6" fillId="0" borderId="2" xfId="0" applyNumberFormat="1" applyFont="1" applyBorder="1" applyAlignment="1">
      <alignment vertical="center" wrapText="1"/>
    </xf>
    <xf numFmtId="0" fontId="2" fillId="0" borderId="2" xfId="0" applyFont="1" applyBorder="1" applyAlignment="1">
      <alignment vertical="center" wrapText="1"/>
    </xf>
    <xf numFmtId="0" fontId="5" fillId="0" borderId="2" xfId="0" applyFont="1" applyBorder="1" applyAlignment="1">
      <alignment vertical="center" wrapText="1"/>
    </xf>
    <xf numFmtId="0" fontId="2" fillId="2" borderId="2" xfId="0" applyFont="1" applyFill="1" applyBorder="1" applyAlignment="1">
      <alignment vertical="center" wrapText="1"/>
    </xf>
    <xf numFmtId="0" fontId="2" fillId="5" borderId="2" xfId="0" applyFont="1" applyFill="1" applyBorder="1" applyAlignment="1">
      <alignment vertical="center" wrapText="1"/>
    </xf>
    <xf numFmtId="0" fontId="2" fillId="6" borderId="2" xfId="0" applyFont="1" applyFill="1" applyBorder="1" applyAlignment="1">
      <alignment vertical="center" wrapText="1"/>
    </xf>
    <xf numFmtId="0" fontId="2" fillId="7" borderId="2" xfId="0" applyFont="1" applyFill="1" applyBorder="1" applyAlignment="1">
      <alignment vertical="center" wrapText="1"/>
    </xf>
    <xf numFmtId="9" fontId="7" fillId="4" borderId="2" xfId="0" applyNumberFormat="1" applyFont="1" applyFill="1" applyBorder="1" applyAlignment="1">
      <alignment horizontal="center" vertical="center" wrapText="1"/>
    </xf>
    <xf numFmtId="0" fontId="2" fillId="0" borderId="2" xfId="0" applyFont="1" applyBorder="1" applyAlignment="1">
      <alignment wrapText="1"/>
    </xf>
    <xf numFmtId="49" fontId="2" fillId="0" borderId="3" xfId="0" applyNumberFormat="1" applyFont="1" applyBorder="1" applyAlignment="1">
      <alignment wrapText="1"/>
    </xf>
    <xf numFmtId="0" fontId="8" fillId="11" borderId="2" xfId="0" applyFont="1" applyFill="1" applyBorder="1"/>
    <xf numFmtId="0" fontId="8" fillId="11" borderId="3" xfId="0" applyFont="1" applyFill="1" applyBorder="1"/>
    <xf numFmtId="0" fontId="11" fillId="0" borderId="0" xfId="0" applyFont="1"/>
    <xf numFmtId="0" fontId="10" fillId="0" borderId="5" xfId="0" applyFont="1" applyBorder="1"/>
    <xf numFmtId="0" fontId="9" fillId="12" borderId="4" xfId="0" applyFont="1" applyFill="1" applyBorder="1"/>
    <xf numFmtId="0" fontId="9" fillId="12" borderId="5" xfId="0" applyFont="1" applyFill="1" applyBorder="1"/>
    <xf numFmtId="14" fontId="10" fillId="0" borderId="4" xfId="0" applyNumberFormat="1" applyFont="1" applyBorder="1"/>
    <xf numFmtId="0" fontId="13" fillId="0" borderId="0" xfId="0" applyFont="1"/>
    <xf numFmtId="0" fontId="8" fillId="11" borderId="2" xfId="0" applyFont="1" applyFill="1" applyBorder="1" applyAlignment="1">
      <alignment wrapText="1"/>
    </xf>
    <xf numFmtId="0" fontId="8" fillId="11" borderId="3" xfId="0" applyFont="1" applyFill="1" applyBorder="1" applyAlignment="1">
      <alignment wrapText="1"/>
    </xf>
    <xf numFmtId="17" fontId="8" fillId="11" borderId="3" xfId="0" applyNumberFormat="1" applyFont="1" applyFill="1" applyBorder="1" applyAlignment="1">
      <alignment wrapText="1"/>
    </xf>
    <xf numFmtId="0" fontId="12" fillId="0" borderId="4" xfId="0" applyFont="1" applyBorder="1"/>
    <xf numFmtId="0" fontId="12" fillId="0" borderId="5" xfId="0" applyFont="1" applyBorder="1"/>
    <xf numFmtId="166" fontId="10" fillId="0" borderId="5" xfId="0" applyNumberFormat="1" applyFont="1" applyBorder="1"/>
    <xf numFmtId="14" fontId="10" fillId="0" borderId="2" xfId="0" applyNumberFormat="1" applyFont="1" applyBorder="1"/>
    <xf numFmtId="0" fontId="10" fillId="0" borderId="4" xfId="0" applyFont="1" applyBorder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88888"/>
      <rgbColor rgb="FF9999FF"/>
      <rgbColor rgb="FF993366"/>
      <rgbColor rgb="FFF0F0F0"/>
      <rgbColor rgb="FFECEAE6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891B2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59E0B"/>
      <rgbColor rgb="FFE8584F"/>
      <rgbColor rgb="FF7C3AED"/>
      <rgbColor rgb="FF969696"/>
      <rgbColor rgb="FF003366"/>
      <rgbColor rgb="FF10B981"/>
      <rgbColor rgb="FF003300"/>
      <rgbColor rgb="FF333300"/>
      <rgbColor rgb="FF993300"/>
      <rgbColor rgb="FF993366"/>
      <rgbColor rgb="FF2A3F6B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B14"/>
  <sheetViews>
    <sheetView zoomScaleNormal="100" workbookViewId="0">
      <selection activeCell="B4" sqref="B4"/>
    </sheetView>
  </sheetViews>
  <sheetFormatPr defaultColWidth="8.5703125" defaultRowHeight="14.45"/>
  <cols>
    <col min="1" max="1" width="25" customWidth="1"/>
    <col min="2" max="2" width="55" customWidth="1"/>
  </cols>
  <sheetData>
    <row r="1" spans="1:2" ht="14.25" customHeight="1">
      <c r="A1" s="9" t="s">
        <v>0</v>
      </c>
      <c r="B1" s="9" t="s">
        <v>1</v>
      </c>
    </row>
    <row r="2" spans="1:2" ht="15" customHeight="1">
      <c r="A2" s="10" t="s">
        <v>2</v>
      </c>
      <c r="B2" s="11" t="s">
        <v>3</v>
      </c>
    </row>
    <row r="3" spans="1:2" ht="23.85" customHeight="1">
      <c r="A3" s="10" t="s">
        <v>4</v>
      </c>
      <c r="B3" s="11" t="s">
        <v>5</v>
      </c>
    </row>
    <row r="4" spans="1:2" ht="15" customHeight="1">
      <c r="A4" s="10" t="s">
        <v>6</v>
      </c>
      <c r="B4" s="12" t="str">
        <f ca="1">TEXT(NOW(),"DD/MM/AAAA")</f>
        <v>20/02/2026</v>
      </c>
    </row>
    <row r="5" spans="1:2" ht="15" customHeight="1">
      <c r="A5" s="1"/>
      <c r="B5" s="2"/>
    </row>
    <row r="6" spans="1:2" ht="14.25" customHeight="1">
      <c r="A6" s="1"/>
      <c r="B6" s="2"/>
    </row>
    <row r="7" spans="1:2" ht="14.25" customHeight="1">
      <c r="A7" s="1"/>
      <c r="B7" s="2"/>
    </row>
    <row r="8" spans="1:2" ht="15" customHeight="1">
      <c r="A8" s="1"/>
      <c r="B8" s="2"/>
    </row>
    <row r="9" spans="1:2" ht="14.25" customHeight="1">
      <c r="A9" s="1"/>
      <c r="B9" s="2"/>
    </row>
    <row r="10" spans="1:2" ht="15" customHeight="1">
      <c r="A10" s="1"/>
      <c r="B10" s="3"/>
    </row>
    <row r="11" spans="1:2" ht="15" customHeight="1">
      <c r="A11" s="1"/>
      <c r="B11" s="2"/>
    </row>
    <row r="12" spans="1:2" ht="14.25" customHeight="1">
      <c r="A12" s="1"/>
      <c r="B12" s="2"/>
    </row>
    <row r="13" spans="1:2" ht="14.25" customHeight="1">
      <c r="A13" s="1"/>
      <c r="B13" s="2"/>
    </row>
    <row r="14" spans="1:2" ht="14.25" customHeight="1">
      <c r="A14" s="1"/>
      <c r="B14" s="2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584F"/>
  </sheetPr>
  <dimension ref="A1:K17"/>
  <sheetViews>
    <sheetView zoomScaleNormal="100" workbookViewId="0">
      <pane ySplit="2" topLeftCell="A3" activePane="bottomLeft" state="frozen"/>
      <selection pane="bottomLeft" activeCell="B4" sqref="B4"/>
    </sheetView>
  </sheetViews>
  <sheetFormatPr defaultColWidth="8.5703125" defaultRowHeight="15"/>
  <cols>
    <col min="1" max="1" width="5.5703125" bestFit="1" customWidth="1"/>
    <col min="2" max="2" width="23.28515625" customWidth="1"/>
    <col min="3" max="3" width="22.5703125" customWidth="1"/>
    <col min="4" max="4" width="16.7109375" bestFit="1" customWidth="1"/>
    <col min="5" max="5" width="12" customWidth="1"/>
    <col min="6" max="6" width="12.140625" customWidth="1"/>
    <col min="7" max="7" width="8.85546875" customWidth="1"/>
    <col min="8" max="8" width="16.28515625" customWidth="1"/>
    <col min="9" max="9" width="14.140625" bestFit="1" customWidth="1"/>
    <col min="10" max="10" width="18.140625" bestFit="1" customWidth="1"/>
    <col min="11" max="11" width="12.42578125" bestFit="1" customWidth="1"/>
  </cols>
  <sheetData>
    <row r="1" spans="1:11" ht="31.5" customHeight="1">
      <c r="A1" s="9" t="s">
        <v>7</v>
      </c>
      <c r="B1" s="9" t="s">
        <v>8</v>
      </c>
      <c r="C1" s="9" t="s">
        <v>9</v>
      </c>
      <c r="D1" s="9" t="s">
        <v>10</v>
      </c>
      <c r="E1" s="9" t="s">
        <v>11</v>
      </c>
      <c r="F1" s="9" t="s">
        <v>12</v>
      </c>
      <c r="G1" s="9" t="s">
        <v>13</v>
      </c>
      <c r="H1" s="9" t="s">
        <v>14</v>
      </c>
      <c r="I1" s="9" t="s">
        <v>15</v>
      </c>
      <c r="J1" s="9" t="s">
        <v>16</v>
      </c>
      <c r="K1" s="9" t="s">
        <v>17</v>
      </c>
    </row>
    <row r="2" spans="1:11" ht="55.5">
      <c r="A2" s="13" t="s">
        <v>18</v>
      </c>
      <c r="B2" s="13" t="s">
        <v>19</v>
      </c>
      <c r="C2" s="13" t="s">
        <v>20</v>
      </c>
      <c r="D2" s="13" t="s">
        <v>21</v>
      </c>
      <c r="E2" s="13" t="s">
        <v>22</v>
      </c>
      <c r="F2" s="13" t="s">
        <v>23</v>
      </c>
      <c r="G2" s="13" t="s">
        <v>24</v>
      </c>
      <c r="H2" s="13" t="s">
        <v>25</v>
      </c>
      <c r="I2" s="13" t="s">
        <v>25</v>
      </c>
      <c r="J2" s="13" t="s">
        <v>25</v>
      </c>
      <c r="K2" s="13" t="s">
        <v>25</v>
      </c>
    </row>
    <row r="3" spans="1:11">
      <c r="A3" s="14" t="s">
        <v>26</v>
      </c>
      <c r="B3" s="14" t="s">
        <v>27</v>
      </c>
      <c r="C3" s="14"/>
      <c r="D3" s="14" t="s">
        <v>28</v>
      </c>
      <c r="E3" s="14" t="s">
        <v>29</v>
      </c>
      <c r="F3" s="14" t="s">
        <v>30</v>
      </c>
      <c r="G3" s="15">
        <v>0.1</v>
      </c>
      <c r="H3" s="16">
        <v>45901</v>
      </c>
      <c r="I3" s="16">
        <v>45992</v>
      </c>
      <c r="J3" s="16">
        <v>46113</v>
      </c>
      <c r="K3" s="16">
        <v>46113</v>
      </c>
    </row>
    <row r="4" spans="1:11">
      <c r="A4" s="14" t="s">
        <v>31</v>
      </c>
      <c r="B4" s="14" t="s">
        <v>32</v>
      </c>
      <c r="C4" s="14"/>
      <c r="D4" s="14" t="s">
        <v>28</v>
      </c>
      <c r="E4" s="14" t="s">
        <v>29</v>
      </c>
      <c r="F4" s="14" t="s">
        <v>30</v>
      </c>
      <c r="G4" s="15">
        <v>7.0000000000000007E-2</v>
      </c>
      <c r="H4" s="16">
        <v>45901</v>
      </c>
      <c r="I4" s="16">
        <v>45992</v>
      </c>
      <c r="J4" s="16">
        <v>46113</v>
      </c>
      <c r="K4" s="16">
        <v>46113</v>
      </c>
    </row>
    <row r="5" spans="1:11">
      <c r="A5" s="14" t="s">
        <v>33</v>
      </c>
      <c r="B5" s="14" t="s">
        <v>34</v>
      </c>
      <c r="C5" s="14" t="s">
        <v>35</v>
      </c>
      <c r="D5" s="14" t="s">
        <v>36</v>
      </c>
      <c r="E5" s="14" t="s">
        <v>29</v>
      </c>
      <c r="F5" s="14" t="s">
        <v>30</v>
      </c>
      <c r="G5" s="15">
        <v>0.04</v>
      </c>
      <c r="H5" s="16">
        <v>45901</v>
      </c>
      <c r="I5" s="16">
        <v>45992</v>
      </c>
      <c r="J5" s="16">
        <v>46113</v>
      </c>
      <c r="K5" s="16">
        <v>46113</v>
      </c>
    </row>
    <row r="6" spans="1:11" ht="24">
      <c r="A6" s="14" t="s">
        <v>37</v>
      </c>
      <c r="B6" s="14" t="s">
        <v>38</v>
      </c>
      <c r="C6" s="14" t="s">
        <v>39</v>
      </c>
      <c r="D6" s="14" t="s">
        <v>36</v>
      </c>
      <c r="E6" s="14" t="s">
        <v>40</v>
      </c>
      <c r="F6" s="14" t="s">
        <v>30</v>
      </c>
      <c r="G6" s="15">
        <v>0.04</v>
      </c>
      <c r="H6" s="16">
        <v>45931</v>
      </c>
      <c r="I6" s="16">
        <v>45901</v>
      </c>
      <c r="J6" s="16">
        <v>46143</v>
      </c>
      <c r="K6" s="16">
        <v>46143</v>
      </c>
    </row>
    <row r="7" spans="1:11">
      <c r="A7" s="14" t="s">
        <v>41</v>
      </c>
      <c r="B7" s="14" t="s">
        <v>42</v>
      </c>
      <c r="C7" s="14" t="s">
        <v>43</v>
      </c>
      <c r="D7" s="14" t="s">
        <v>36</v>
      </c>
      <c r="E7" s="14" t="s">
        <v>44</v>
      </c>
      <c r="F7" s="14" t="s">
        <v>45</v>
      </c>
      <c r="G7" s="15">
        <v>0</v>
      </c>
      <c r="H7" s="16">
        <v>45962</v>
      </c>
      <c r="I7" s="16">
        <v>45962</v>
      </c>
      <c r="J7" s="16">
        <v>46174</v>
      </c>
      <c r="K7" s="16">
        <v>46204</v>
      </c>
    </row>
    <row r="8" spans="1:11">
      <c r="A8" s="14" t="s">
        <v>46</v>
      </c>
      <c r="B8" s="14" t="s">
        <v>47</v>
      </c>
      <c r="C8" s="14" t="s">
        <v>47</v>
      </c>
      <c r="D8" s="14" t="s">
        <v>36</v>
      </c>
      <c r="E8" s="14" t="s">
        <v>44</v>
      </c>
      <c r="F8" s="14" t="s">
        <v>45</v>
      </c>
      <c r="G8" s="15">
        <v>0</v>
      </c>
      <c r="H8" s="16">
        <v>45931</v>
      </c>
      <c r="I8" s="16">
        <v>45931</v>
      </c>
      <c r="J8" s="16">
        <v>46204</v>
      </c>
      <c r="K8" s="16">
        <v>46204</v>
      </c>
    </row>
    <row r="9" spans="1:11">
      <c r="A9" s="14" t="s">
        <v>48</v>
      </c>
      <c r="B9" s="14" t="s">
        <v>49</v>
      </c>
      <c r="C9" s="14" t="s">
        <v>50</v>
      </c>
      <c r="D9" s="14" t="s">
        <v>36</v>
      </c>
      <c r="E9" s="14" t="s">
        <v>44</v>
      </c>
      <c r="F9" s="14" t="s">
        <v>45</v>
      </c>
      <c r="G9" s="15">
        <v>0</v>
      </c>
      <c r="H9" s="16">
        <v>45992</v>
      </c>
      <c r="I9" s="16">
        <v>45992</v>
      </c>
      <c r="J9" s="16">
        <v>46235</v>
      </c>
      <c r="K9" s="16">
        <v>46235</v>
      </c>
    </row>
    <row r="10" spans="1:11">
      <c r="A10" s="14" t="s">
        <v>51</v>
      </c>
      <c r="B10" s="14" t="s">
        <v>52</v>
      </c>
      <c r="C10" s="14" t="s">
        <v>50</v>
      </c>
      <c r="D10" s="14" t="s">
        <v>36</v>
      </c>
      <c r="E10" s="14" t="s">
        <v>44</v>
      </c>
      <c r="F10" s="14" t="s">
        <v>45</v>
      </c>
      <c r="G10" s="15">
        <v>0</v>
      </c>
      <c r="H10" s="16">
        <v>46113</v>
      </c>
      <c r="I10" s="16"/>
      <c r="J10" s="16">
        <v>46296</v>
      </c>
      <c r="K10" s="16">
        <v>46296</v>
      </c>
    </row>
    <row r="11" spans="1:11">
      <c r="A11" s="14" t="s">
        <v>53</v>
      </c>
      <c r="B11" s="14" t="s">
        <v>54</v>
      </c>
      <c r="C11" s="14" t="s">
        <v>55</v>
      </c>
      <c r="D11" s="14" t="s">
        <v>36</v>
      </c>
      <c r="E11" s="14" t="s">
        <v>44</v>
      </c>
      <c r="F11" s="14" t="s">
        <v>45</v>
      </c>
      <c r="G11" s="15">
        <v>0</v>
      </c>
      <c r="H11" s="16">
        <v>45992</v>
      </c>
      <c r="I11" s="16">
        <v>45992</v>
      </c>
      <c r="J11" s="16">
        <v>46235</v>
      </c>
      <c r="K11" s="16">
        <v>46235</v>
      </c>
    </row>
    <row r="12" spans="1:11">
      <c r="A12" s="14" t="s">
        <v>56</v>
      </c>
      <c r="B12" s="14" t="s">
        <v>57</v>
      </c>
      <c r="C12" s="14" t="s">
        <v>57</v>
      </c>
      <c r="D12" s="14" t="s">
        <v>36</v>
      </c>
      <c r="E12" s="14" t="s">
        <v>44</v>
      </c>
      <c r="F12" s="14" t="s">
        <v>45</v>
      </c>
      <c r="G12" s="15">
        <v>0</v>
      </c>
      <c r="H12" s="16">
        <v>45992</v>
      </c>
      <c r="I12" s="16">
        <v>45992</v>
      </c>
      <c r="J12" s="16">
        <v>46235</v>
      </c>
      <c r="K12" s="16">
        <v>46235</v>
      </c>
    </row>
    <row r="13" spans="1:11">
      <c r="A13" s="14" t="s">
        <v>58</v>
      </c>
      <c r="B13" s="14" t="s">
        <v>59</v>
      </c>
      <c r="C13" s="14" t="s">
        <v>59</v>
      </c>
      <c r="D13" s="14" t="s">
        <v>36</v>
      </c>
      <c r="E13" s="14" t="s">
        <v>44</v>
      </c>
      <c r="F13" s="14" t="s">
        <v>45</v>
      </c>
      <c r="G13" s="15">
        <v>0</v>
      </c>
      <c r="H13" s="16">
        <v>45992</v>
      </c>
      <c r="I13" s="16">
        <v>45992</v>
      </c>
      <c r="J13" s="16">
        <v>46235</v>
      </c>
      <c r="K13" s="16">
        <v>46235</v>
      </c>
    </row>
    <row r="14" spans="1:11">
      <c r="A14" s="14" t="s">
        <v>60</v>
      </c>
      <c r="B14" s="14" t="s">
        <v>61</v>
      </c>
      <c r="C14" s="14" t="s">
        <v>61</v>
      </c>
      <c r="D14" s="14" t="s">
        <v>36</v>
      </c>
      <c r="E14" s="14" t="s">
        <v>44</v>
      </c>
      <c r="F14" s="14" t="s">
        <v>45</v>
      </c>
      <c r="G14" s="15">
        <v>0</v>
      </c>
      <c r="H14" s="16">
        <v>45992</v>
      </c>
      <c r="I14" s="16">
        <v>45992</v>
      </c>
      <c r="J14" s="16">
        <v>46235</v>
      </c>
      <c r="K14" s="16">
        <v>46235</v>
      </c>
    </row>
    <row r="15" spans="1:11">
      <c r="A15" s="14" t="s">
        <v>62</v>
      </c>
      <c r="B15" s="14" t="s">
        <v>63</v>
      </c>
      <c r="C15" s="14" t="s">
        <v>50</v>
      </c>
      <c r="D15" s="14" t="s">
        <v>36</v>
      </c>
      <c r="E15" s="14" t="s">
        <v>44</v>
      </c>
      <c r="F15" s="14" t="s">
        <v>45</v>
      </c>
      <c r="G15" s="15">
        <v>0</v>
      </c>
      <c r="H15" s="16">
        <v>45992</v>
      </c>
      <c r="I15" s="16">
        <v>45992</v>
      </c>
      <c r="J15" s="16">
        <v>46235</v>
      </c>
      <c r="K15" s="16">
        <v>46235</v>
      </c>
    </row>
    <row r="16" spans="1:11">
      <c r="A16" s="14" t="s">
        <v>64</v>
      </c>
      <c r="B16" s="14" t="s">
        <v>65</v>
      </c>
      <c r="C16" s="14" t="s">
        <v>50</v>
      </c>
      <c r="D16" s="14" t="s">
        <v>36</v>
      </c>
      <c r="E16" s="14" t="s">
        <v>44</v>
      </c>
      <c r="F16" s="14" t="s">
        <v>45</v>
      </c>
      <c r="G16" s="15">
        <v>0</v>
      </c>
      <c r="H16" s="16">
        <v>45992</v>
      </c>
      <c r="I16" s="16">
        <v>45992</v>
      </c>
      <c r="J16" s="16">
        <v>46235</v>
      </c>
      <c r="K16" s="16">
        <v>46235</v>
      </c>
    </row>
    <row r="17" spans="1:11">
      <c r="A17" s="14" t="s">
        <v>66</v>
      </c>
      <c r="B17" s="14" t="s">
        <v>67</v>
      </c>
      <c r="C17" s="14" t="s">
        <v>50</v>
      </c>
      <c r="D17" s="14" t="s">
        <v>36</v>
      </c>
      <c r="E17" s="14" t="s">
        <v>44</v>
      </c>
      <c r="F17" s="14" t="s">
        <v>45</v>
      </c>
      <c r="G17" s="15">
        <v>0</v>
      </c>
      <c r="H17" s="16">
        <v>45992</v>
      </c>
      <c r="I17" s="16">
        <v>45992</v>
      </c>
      <c r="J17" s="16">
        <v>46235</v>
      </c>
      <c r="K17" s="16">
        <v>46235</v>
      </c>
    </row>
  </sheetData>
  <autoFilter ref="A1:K10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A3F6B"/>
  </sheetPr>
  <dimension ref="A1:J52"/>
  <sheetViews>
    <sheetView tabSelected="1" zoomScaleNormal="100" workbookViewId="0">
      <pane ySplit="2" topLeftCell="A8" activePane="bottomLeft" state="frozen"/>
      <selection pane="bottomLeft" activeCell="A19" sqref="A19:A22"/>
    </sheetView>
  </sheetViews>
  <sheetFormatPr defaultColWidth="8.5703125" defaultRowHeight="14.45"/>
  <cols>
    <col min="1" max="1" width="12" customWidth="1"/>
    <col min="2" max="2" width="25" customWidth="1"/>
    <col min="3" max="3" width="30" customWidth="1"/>
    <col min="4" max="7" width="16" customWidth="1"/>
    <col min="8" max="8" width="22" customWidth="1"/>
  </cols>
  <sheetData>
    <row r="1" spans="1:10" ht="14.25" customHeight="1">
      <c r="A1" s="4" t="s">
        <v>68</v>
      </c>
      <c r="B1" s="4" t="s">
        <v>8</v>
      </c>
      <c r="C1" s="4" t="s">
        <v>69</v>
      </c>
      <c r="D1" s="4" t="s">
        <v>14</v>
      </c>
      <c r="E1" s="4" t="s">
        <v>15</v>
      </c>
      <c r="F1" s="4" t="s">
        <v>16</v>
      </c>
      <c r="G1" s="4" t="s">
        <v>17</v>
      </c>
      <c r="H1" s="4" t="s">
        <v>11</v>
      </c>
      <c r="I1" s="5"/>
      <c r="J1" s="5"/>
    </row>
    <row r="2" spans="1:10" ht="36" customHeight="1">
      <c r="A2" s="6" t="s">
        <v>70</v>
      </c>
      <c r="B2" s="6" t="s">
        <v>71</v>
      </c>
      <c r="C2" s="6" t="s">
        <v>72</v>
      </c>
      <c r="D2" s="6" t="s">
        <v>25</v>
      </c>
      <c r="E2" s="6" t="s">
        <v>25</v>
      </c>
      <c r="F2" s="6" t="s">
        <v>25</v>
      </c>
      <c r="G2" s="6" t="s">
        <v>25</v>
      </c>
      <c r="H2" s="6" t="s">
        <v>73</v>
      </c>
      <c r="I2" s="5"/>
      <c r="J2" s="5"/>
    </row>
    <row r="3" spans="1:10" ht="15" customHeight="1">
      <c r="A3" s="7" t="s">
        <v>26</v>
      </c>
      <c r="B3" s="33" t="s">
        <v>27</v>
      </c>
      <c r="C3" s="7" t="s">
        <v>74</v>
      </c>
      <c r="D3" s="8" t="s">
        <v>75</v>
      </c>
      <c r="E3" s="8" t="s">
        <v>75</v>
      </c>
      <c r="F3" s="8" t="s">
        <v>75</v>
      </c>
      <c r="G3" s="8" t="s">
        <v>75</v>
      </c>
      <c r="H3" s="7" t="s">
        <v>76</v>
      </c>
      <c r="I3" s="5"/>
      <c r="J3" s="5"/>
    </row>
    <row r="4" spans="1:10" ht="15" customHeight="1">
      <c r="A4" s="7" t="s">
        <v>26</v>
      </c>
      <c r="B4" s="33" t="s">
        <v>27</v>
      </c>
      <c r="C4" s="7" t="s">
        <v>77</v>
      </c>
      <c r="D4" s="8" t="s">
        <v>75</v>
      </c>
      <c r="E4" s="8" t="s">
        <v>75</v>
      </c>
      <c r="F4" s="8" t="s">
        <v>78</v>
      </c>
      <c r="G4" s="8" t="s">
        <v>78</v>
      </c>
      <c r="H4" s="7" t="s">
        <v>76</v>
      </c>
      <c r="I4" s="5"/>
      <c r="J4" s="5"/>
    </row>
    <row r="5" spans="1:10" ht="15" customHeight="1">
      <c r="A5" s="7" t="s">
        <v>26</v>
      </c>
      <c r="B5" s="33" t="s">
        <v>27</v>
      </c>
      <c r="C5" s="7" t="s">
        <v>79</v>
      </c>
      <c r="D5" s="8">
        <v>45992</v>
      </c>
      <c r="E5" s="8">
        <v>45992</v>
      </c>
      <c r="F5" s="8">
        <v>46296</v>
      </c>
      <c r="G5" s="8">
        <v>46296</v>
      </c>
      <c r="H5" s="7" t="s">
        <v>76</v>
      </c>
      <c r="I5" s="5"/>
      <c r="J5" s="5"/>
    </row>
    <row r="6" spans="1:10" ht="15" customHeight="1">
      <c r="A6" s="7" t="s">
        <v>26</v>
      </c>
      <c r="B6" s="33" t="s">
        <v>27</v>
      </c>
      <c r="C6" s="7" t="s">
        <v>80</v>
      </c>
      <c r="D6" s="8" t="s">
        <v>81</v>
      </c>
      <c r="E6" s="8" t="s">
        <v>81</v>
      </c>
      <c r="F6" s="8" t="s">
        <v>75</v>
      </c>
      <c r="G6" s="8" t="s">
        <v>75</v>
      </c>
      <c r="H6" s="7" t="s">
        <v>82</v>
      </c>
      <c r="I6" s="5"/>
      <c r="J6" s="5"/>
    </row>
    <row r="7" spans="1:10" ht="15" customHeight="1">
      <c r="A7" s="7" t="s">
        <v>26</v>
      </c>
      <c r="B7" s="33" t="s">
        <v>27</v>
      </c>
      <c r="C7" s="7" t="s">
        <v>83</v>
      </c>
      <c r="D7" s="8" t="s">
        <v>75</v>
      </c>
      <c r="E7" s="8" t="s">
        <v>75</v>
      </c>
      <c r="F7" s="8" t="s">
        <v>84</v>
      </c>
      <c r="G7" s="8" t="s">
        <v>84</v>
      </c>
      <c r="H7" s="7" t="s">
        <v>85</v>
      </c>
      <c r="I7" s="5"/>
      <c r="J7" s="5"/>
    </row>
    <row r="8" spans="1:10" ht="15" customHeight="1">
      <c r="A8" s="7" t="s">
        <v>31</v>
      </c>
      <c r="B8" s="33" t="s">
        <v>32</v>
      </c>
      <c r="C8" s="7" t="s">
        <v>74</v>
      </c>
      <c r="D8" s="8" t="s">
        <v>75</v>
      </c>
      <c r="E8" s="8" t="s">
        <v>75</v>
      </c>
      <c r="F8" s="8" t="s">
        <v>75</v>
      </c>
      <c r="G8" s="8" t="s">
        <v>75</v>
      </c>
      <c r="H8" s="7" t="s">
        <v>76</v>
      </c>
      <c r="I8" s="5"/>
      <c r="J8" s="5"/>
    </row>
    <row r="9" spans="1:10" ht="15" customHeight="1">
      <c r="A9" s="7" t="s">
        <v>31</v>
      </c>
      <c r="B9" s="33" t="s">
        <v>32</v>
      </c>
      <c r="C9" s="7" t="s">
        <v>77</v>
      </c>
      <c r="D9" s="8" t="s">
        <v>75</v>
      </c>
      <c r="E9" s="8" t="s">
        <v>75</v>
      </c>
      <c r="F9" s="8" t="s">
        <v>78</v>
      </c>
      <c r="G9" s="8" t="s">
        <v>78</v>
      </c>
      <c r="H9" s="7" t="s">
        <v>76</v>
      </c>
      <c r="I9" s="5"/>
      <c r="J9" s="5"/>
    </row>
    <row r="10" spans="1:10" ht="15" customHeight="1">
      <c r="A10" s="7" t="s">
        <v>31</v>
      </c>
      <c r="B10" s="33" t="s">
        <v>32</v>
      </c>
      <c r="C10" s="7" t="s">
        <v>79</v>
      </c>
      <c r="D10" s="8">
        <v>45992</v>
      </c>
      <c r="E10" s="8">
        <v>45992</v>
      </c>
      <c r="F10" s="8">
        <v>46296</v>
      </c>
      <c r="G10" s="8">
        <v>46296</v>
      </c>
      <c r="H10" s="7" t="s">
        <v>76</v>
      </c>
      <c r="I10" s="5"/>
      <c r="J10" s="5"/>
    </row>
    <row r="11" spans="1:10" ht="15" customHeight="1">
      <c r="A11" s="7" t="s">
        <v>31</v>
      </c>
      <c r="B11" s="33" t="s">
        <v>32</v>
      </c>
      <c r="C11" s="7" t="s">
        <v>80</v>
      </c>
      <c r="D11" s="8" t="s">
        <v>81</v>
      </c>
      <c r="E11" s="8" t="s">
        <v>81</v>
      </c>
      <c r="F11" s="8" t="s">
        <v>75</v>
      </c>
      <c r="G11" s="8" t="s">
        <v>75</v>
      </c>
      <c r="H11" s="7" t="s">
        <v>82</v>
      </c>
      <c r="I11" s="5"/>
      <c r="J11" s="5"/>
    </row>
    <row r="12" spans="1:10" ht="15" customHeight="1">
      <c r="A12" s="7" t="s">
        <v>31</v>
      </c>
      <c r="B12" s="33" t="s">
        <v>32</v>
      </c>
      <c r="C12" s="7" t="s">
        <v>83</v>
      </c>
      <c r="D12" s="8" t="s">
        <v>75</v>
      </c>
      <c r="E12" s="8" t="s">
        <v>75</v>
      </c>
      <c r="F12" s="8" t="s">
        <v>84</v>
      </c>
      <c r="G12" s="8" t="s">
        <v>84</v>
      </c>
      <c r="H12" s="7" t="s">
        <v>85</v>
      </c>
      <c r="I12" s="5"/>
      <c r="J12" s="5"/>
    </row>
    <row r="13" spans="1:10" ht="15" customHeight="1">
      <c r="A13" s="7" t="s">
        <v>33</v>
      </c>
      <c r="B13" s="7" t="s">
        <v>34</v>
      </c>
      <c r="C13" s="7" t="s">
        <v>86</v>
      </c>
      <c r="D13" s="8" t="s">
        <v>87</v>
      </c>
      <c r="E13" s="8" t="s">
        <v>87</v>
      </c>
      <c r="F13" s="8" t="s">
        <v>87</v>
      </c>
      <c r="G13" s="8" t="s">
        <v>87</v>
      </c>
      <c r="H13" s="7" t="s">
        <v>76</v>
      </c>
      <c r="I13" s="5"/>
      <c r="J13" s="5"/>
    </row>
    <row r="14" spans="1:10" ht="15" customHeight="1">
      <c r="A14" s="7" t="s">
        <v>33</v>
      </c>
      <c r="B14" s="7" t="s">
        <v>34</v>
      </c>
      <c r="C14" s="7" t="s">
        <v>88</v>
      </c>
      <c r="D14" s="8" t="s">
        <v>81</v>
      </c>
      <c r="E14" s="8" t="s">
        <v>81</v>
      </c>
      <c r="F14" s="8" t="s">
        <v>84</v>
      </c>
      <c r="G14" s="8" t="s">
        <v>84</v>
      </c>
      <c r="H14" s="7" t="s">
        <v>76</v>
      </c>
      <c r="I14" s="5"/>
      <c r="J14" s="5"/>
    </row>
    <row r="15" spans="1:10" ht="15" customHeight="1">
      <c r="A15" s="7" t="s">
        <v>33</v>
      </c>
      <c r="B15" s="7" t="s">
        <v>34</v>
      </c>
      <c r="C15" s="7" t="s">
        <v>89</v>
      </c>
      <c r="D15" s="8" t="s">
        <v>78</v>
      </c>
      <c r="E15" s="8" t="s">
        <v>78</v>
      </c>
      <c r="F15" s="8" t="s">
        <v>90</v>
      </c>
      <c r="G15" s="8" t="s">
        <v>90</v>
      </c>
      <c r="H15" s="7" t="s">
        <v>85</v>
      </c>
      <c r="I15" s="5"/>
      <c r="J15" s="5"/>
    </row>
    <row r="16" spans="1:10" ht="15" customHeight="1">
      <c r="A16" s="7" t="s">
        <v>33</v>
      </c>
      <c r="B16" s="7" t="s">
        <v>34</v>
      </c>
      <c r="C16" s="7" t="s">
        <v>91</v>
      </c>
      <c r="D16" s="8" t="s">
        <v>90</v>
      </c>
      <c r="E16" s="8" t="s">
        <v>90</v>
      </c>
      <c r="F16" s="8" t="s">
        <v>92</v>
      </c>
      <c r="G16" s="8" t="s">
        <v>92</v>
      </c>
      <c r="H16" s="7" t="s">
        <v>44</v>
      </c>
      <c r="I16" s="5"/>
      <c r="J16" s="5"/>
    </row>
    <row r="17" spans="1:10" ht="15" customHeight="1">
      <c r="A17" s="7" t="s">
        <v>33</v>
      </c>
      <c r="B17" s="7" t="s">
        <v>34</v>
      </c>
      <c r="C17" s="7" t="s">
        <v>83</v>
      </c>
      <c r="D17" s="8" t="s">
        <v>92</v>
      </c>
      <c r="E17" s="8" t="s">
        <v>92</v>
      </c>
      <c r="F17" s="8" t="s">
        <v>93</v>
      </c>
      <c r="G17" s="8" t="s">
        <v>93</v>
      </c>
      <c r="H17" s="7" t="s">
        <v>85</v>
      </c>
      <c r="I17" s="5"/>
      <c r="J17" s="5"/>
    </row>
    <row r="18" spans="1:10" ht="15" customHeight="1">
      <c r="A18" s="7" t="s">
        <v>37</v>
      </c>
      <c r="B18" s="7" t="s">
        <v>38</v>
      </c>
      <c r="C18" s="7" t="s">
        <v>86</v>
      </c>
      <c r="D18" s="8" t="s">
        <v>87</v>
      </c>
      <c r="E18" s="8" t="s">
        <v>87</v>
      </c>
      <c r="F18" s="8" t="s">
        <v>81</v>
      </c>
      <c r="G18" s="8" t="s">
        <v>81</v>
      </c>
      <c r="H18" s="7" t="s">
        <v>76</v>
      </c>
      <c r="I18" s="5"/>
      <c r="J18" s="5"/>
    </row>
    <row r="19" spans="1:10" ht="15" customHeight="1">
      <c r="A19" s="7" t="s">
        <v>37</v>
      </c>
      <c r="B19" s="7" t="s">
        <v>38</v>
      </c>
      <c r="C19" s="7" t="s">
        <v>94</v>
      </c>
      <c r="D19" s="8" t="s">
        <v>81</v>
      </c>
      <c r="E19" s="8" t="s">
        <v>81</v>
      </c>
      <c r="F19" s="8" t="s">
        <v>75</v>
      </c>
      <c r="G19" s="8" t="s">
        <v>75</v>
      </c>
      <c r="H19" s="7" t="s">
        <v>76</v>
      </c>
      <c r="I19" s="5"/>
      <c r="J19" s="5"/>
    </row>
    <row r="20" spans="1:10" ht="15" customHeight="1">
      <c r="A20" s="7" t="s">
        <v>37</v>
      </c>
      <c r="B20" s="7" t="s">
        <v>38</v>
      </c>
      <c r="C20" s="7" t="s">
        <v>95</v>
      </c>
      <c r="D20" s="8" t="s">
        <v>84</v>
      </c>
      <c r="E20" s="8" t="s">
        <v>84</v>
      </c>
      <c r="F20" s="8" t="s">
        <v>90</v>
      </c>
      <c r="G20" s="8" t="s">
        <v>90</v>
      </c>
      <c r="H20" s="7" t="s">
        <v>85</v>
      </c>
      <c r="I20" s="5"/>
      <c r="J20" s="5"/>
    </row>
    <row r="21" spans="1:10" ht="15" customHeight="1">
      <c r="A21" s="7" t="s">
        <v>37</v>
      </c>
      <c r="B21" s="7" t="s">
        <v>38</v>
      </c>
      <c r="C21" s="7" t="s">
        <v>89</v>
      </c>
      <c r="D21" s="8" t="s">
        <v>90</v>
      </c>
      <c r="E21" s="8" t="s">
        <v>90</v>
      </c>
      <c r="F21" s="8" t="s">
        <v>92</v>
      </c>
      <c r="G21" s="8" t="s">
        <v>92</v>
      </c>
      <c r="H21" s="7" t="s">
        <v>44</v>
      </c>
      <c r="I21" s="5"/>
      <c r="J21" s="5"/>
    </row>
    <row r="22" spans="1:10" ht="15" customHeight="1">
      <c r="A22" s="7" t="s">
        <v>37</v>
      </c>
      <c r="B22" s="7" t="s">
        <v>38</v>
      </c>
      <c r="C22" s="7" t="s">
        <v>83</v>
      </c>
      <c r="D22" s="8" t="s">
        <v>93</v>
      </c>
      <c r="E22" s="8" t="s">
        <v>93</v>
      </c>
      <c r="F22" s="8" t="s">
        <v>96</v>
      </c>
      <c r="G22" s="8" t="s">
        <v>96</v>
      </c>
      <c r="H22" s="7" t="s">
        <v>85</v>
      </c>
      <c r="I22" s="5"/>
      <c r="J22" s="5"/>
    </row>
    <row r="23" spans="1:10" ht="15" customHeight="1">
      <c r="A23" s="7" t="s">
        <v>37</v>
      </c>
      <c r="B23" s="7" t="s">
        <v>42</v>
      </c>
      <c r="C23" s="7" t="s">
        <v>86</v>
      </c>
      <c r="D23" s="8" t="s">
        <v>75</v>
      </c>
      <c r="E23" s="8" t="s">
        <v>75</v>
      </c>
      <c r="F23" s="8" t="s">
        <v>84</v>
      </c>
      <c r="G23" s="8" t="s">
        <v>84</v>
      </c>
      <c r="H23" s="7" t="s">
        <v>76</v>
      </c>
      <c r="I23" s="5"/>
      <c r="J23" s="5"/>
    </row>
    <row r="24" spans="1:10" ht="15" customHeight="1">
      <c r="A24" s="7" t="s">
        <v>37</v>
      </c>
      <c r="B24" s="7" t="s">
        <v>42</v>
      </c>
      <c r="C24" s="7" t="s">
        <v>97</v>
      </c>
      <c r="D24" s="8" t="s">
        <v>78</v>
      </c>
      <c r="E24" s="8" t="s">
        <v>78</v>
      </c>
      <c r="F24" s="8" t="s">
        <v>90</v>
      </c>
      <c r="G24" s="8" t="s">
        <v>90</v>
      </c>
      <c r="H24" s="7" t="s">
        <v>82</v>
      </c>
      <c r="I24" s="5"/>
      <c r="J24" s="5"/>
    </row>
    <row r="25" spans="1:10" ht="15" customHeight="1">
      <c r="A25" s="7" t="s">
        <v>37</v>
      </c>
      <c r="B25" s="7" t="s">
        <v>42</v>
      </c>
      <c r="C25" s="7" t="s">
        <v>89</v>
      </c>
      <c r="D25" s="8" t="s">
        <v>92</v>
      </c>
      <c r="E25" s="8" t="s">
        <v>92</v>
      </c>
      <c r="F25" s="8" t="s">
        <v>93</v>
      </c>
      <c r="G25" s="8" t="s">
        <v>93</v>
      </c>
      <c r="H25" s="7" t="s">
        <v>44</v>
      </c>
      <c r="I25" s="5"/>
      <c r="J25" s="5"/>
    </row>
    <row r="26" spans="1:10" ht="15" customHeight="1">
      <c r="A26" s="7" t="s">
        <v>37</v>
      </c>
      <c r="B26" s="7" t="s">
        <v>42</v>
      </c>
      <c r="C26" s="7" t="s">
        <v>91</v>
      </c>
      <c r="D26" s="8" t="s">
        <v>93</v>
      </c>
      <c r="E26" s="8" t="s">
        <v>93</v>
      </c>
      <c r="F26" s="8" t="s">
        <v>96</v>
      </c>
      <c r="G26" s="8" t="s">
        <v>96</v>
      </c>
      <c r="H26" s="7" t="s">
        <v>44</v>
      </c>
      <c r="I26" s="5"/>
      <c r="J26" s="5"/>
    </row>
    <row r="27" spans="1:10" ht="15" customHeight="1">
      <c r="A27" s="7" t="s">
        <v>37</v>
      </c>
      <c r="B27" s="7" t="s">
        <v>42</v>
      </c>
      <c r="C27" s="7" t="s">
        <v>83</v>
      </c>
      <c r="D27" s="8" t="s">
        <v>96</v>
      </c>
      <c r="E27" s="8" t="s">
        <v>96</v>
      </c>
      <c r="F27" s="8" t="s">
        <v>98</v>
      </c>
      <c r="G27" s="8" t="s">
        <v>98</v>
      </c>
      <c r="H27" s="7" t="s">
        <v>44</v>
      </c>
      <c r="I27" s="5"/>
      <c r="J27" s="5"/>
    </row>
    <row r="28" spans="1:10" ht="15" customHeight="1">
      <c r="A28" s="7" t="s">
        <v>41</v>
      </c>
      <c r="B28" s="7" t="s">
        <v>47</v>
      </c>
      <c r="C28" s="7" t="s">
        <v>86</v>
      </c>
      <c r="D28" s="8" t="s">
        <v>81</v>
      </c>
      <c r="E28" s="8" t="s">
        <v>81</v>
      </c>
      <c r="F28" s="8" t="s">
        <v>75</v>
      </c>
      <c r="G28" s="8" t="s">
        <v>75</v>
      </c>
      <c r="H28" s="7" t="s">
        <v>76</v>
      </c>
      <c r="I28" s="5"/>
      <c r="J28" s="5"/>
    </row>
    <row r="29" spans="1:10" ht="15" customHeight="1">
      <c r="A29" s="7" t="s">
        <v>41</v>
      </c>
      <c r="B29" s="7" t="s">
        <v>47</v>
      </c>
      <c r="C29" s="7" t="s">
        <v>88</v>
      </c>
      <c r="D29" s="8" t="s">
        <v>84</v>
      </c>
      <c r="E29" s="8" t="s">
        <v>84</v>
      </c>
      <c r="F29" s="8" t="s">
        <v>90</v>
      </c>
      <c r="G29" s="8" t="s">
        <v>90</v>
      </c>
      <c r="H29" s="7" t="s">
        <v>85</v>
      </c>
      <c r="I29" s="5"/>
      <c r="J29" s="5"/>
    </row>
    <row r="30" spans="1:10" ht="15" customHeight="1">
      <c r="A30" s="7" t="s">
        <v>41</v>
      </c>
      <c r="B30" s="7" t="s">
        <v>47</v>
      </c>
      <c r="C30" s="7" t="s">
        <v>89</v>
      </c>
      <c r="D30" s="8" t="s">
        <v>92</v>
      </c>
      <c r="E30" s="8" t="s">
        <v>92</v>
      </c>
      <c r="F30" s="8" t="s">
        <v>93</v>
      </c>
      <c r="G30" s="8" t="s">
        <v>93</v>
      </c>
      <c r="H30" s="7" t="s">
        <v>44</v>
      </c>
      <c r="I30" s="5"/>
      <c r="J30" s="5"/>
    </row>
    <row r="31" spans="1:10" ht="15" customHeight="1">
      <c r="A31" s="7" t="s">
        <v>41</v>
      </c>
      <c r="B31" s="7" t="s">
        <v>47</v>
      </c>
      <c r="C31" s="7" t="s">
        <v>91</v>
      </c>
      <c r="D31" s="8" t="s">
        <v>96</v>
      </c>
      <c r="E31" s="8" t="s">
        <v>96</v>
      </c>
      <c r="F31" s="8" t="s">
        <v>96</v>
      </c>
      <c r="G31" s="8" t="s">
        <v>96</v>
      </c>
      <c r="H31" s="7" t="s">
        <v>44</v>
      </c>
      <c r="I31" s="5"/>
      <c r="J31" s="5"/>
    </row>
    <row r="32" spans="1:10" ht="15" customHeight="1">
      <c r="A32" s="7" t="s">
        <v>41</v>
      </c>
      <c r="B32" s="7" t="s">
        <v>47</v>
      </c>
      <c r="C32" s="7" t="s">
        <v>83</v>
      </c>
      <c r="D32" s="8" t="s">
        <v>98</v>
      </c>
      <c r="E32" s="8" t="s">
        <v>98</v>
      </c>
      <c r="F32" s="8" t="s">
        <v>99</v>
      </c>
      <c r="G32" s="8" t="s">
        <v>99</v>
      </c>
      <c r="H32" s="7" t="s">
        <v>44</v>
      </c>
      <c r="I32" s="5"/>
      <c r="J32" s="5"/>
    </row>
    <row r="33" spans="1:10" ht="15" customHeight="1">
      <c r="A33" s="7" t="s">
        <v>46</v>
      </c>
      <c r="B33" s="7" t="s">
        <v>49</v>
      </c>
      <c r="C33" s="7" t="s">
        <v>86</v>
      </c>
      <c r="D33" s="8" t="s">
        <v>84</v>
      </c>
      <c r="E33" s="8" t="s">
        <v>84</v>
      </c>
      <c r="F33" s="8" t="s">
        <v>78</v>
      </c>
      <c r="G33" s="8" t="s">
        <v>78</v>
      </c>
      <c r="H33" s="7" t="s">
        <v>76</v>
      </c>
      <c r="I33" s="5"/>
      <c r="J33" s="5"/>
    </row>
    <row r="34" spans="1:10" ht="15" customHeight="1">
      <c r="A34" s="7" t="s">
        <v>46</v>
      </c>
      <c r="B34" s="7" t="s">
        <v>49</v>
      </c>
      <c r="C34" s="7" t="s">
        <v>100</v>
      </c>
      <c r="D34" s="8" t="s">
        <v>78</v>
      </c>
      <c r="E34" s="8" t="s">
        <v>78</v>
      </c>
      <c r="F34" s="8" t="s">
        <v>90</v>
      </c>
      <c r="G34" s="8" t="s">
        <v>90</v>
      </c>
      <c r="H34" s="7" t="s">
        <v>82</v>
      </c>
      <c r="I34" s="5"/>
      <c r="J34" s="5"/>
    </row>
    <row r="35" spans="1:10" ht="15" customHeight="1">
      <c r="A35" s="7" t="s">
        <v>46</v>
      </c>
      <c r="B35" s="7" t="s">
        <v>49</v>
      </c>
      <c r="C35" s="7" t="s">
        <v>101</v>
      </c>
      <c r="D35" s="8" t="s">
        <v>92</v>
      </c>
      <c r="E35" s="8" t="s">
        <v>92</v>
      </c>
      <c r="F35" s="8" t="s">
        <v>96</v>
      </c>
      <c r="G35" s="8" t="s">
        <v>96</v>
      </c>
      <c r="H35" s="7" t="s">
        <v>44</v>
      </c>
      <c r="I35" s="5"/>
      <c r="J35" s="5"/>
    </row>
    <row r="36" spans="1:10" ht="15" customHeight="1">
      <c r="A36" s="7" t="s">
        <v>46</v>
      </c>
      <c r="B36" s="7" t="s">
        <v>49</v>
      </c>
      <c r="C36" s="7" t="s">
        <v>89</v>
      </c>
      <c r="D36" s="8" t="s">
        <v>96</v>
      </c>
      <c r="E36" s="8" t="s">
        <v>96</v>
      </c>
      <c r="F36" s="8" t="s">
        <v>98</v>
      </c>
      <c r="G36" s="8" t="s">
        <v>98</v>
      </c>
      <c r="H36" s="7" t="s">
        <v>44</v>
      </c>
      <c r="I36" s="5"/>
      <c r="J36" s="5"/>
    </row>
    <row r="37" spans="1:10" ht="15" customHeight="1">
      <c r="A37" s="7" t="s">
        <v>46</v>
      </c>
      <c r="B37" s="7" t="s">
        <v>49</v>
      </c>
      <c r="C37" s="7" t="s">
        <v>83</v>
      </c>
      <c r="D37" s="8" t="s">
        <v>99</v>
      </c>
      <c r="E37" s="8" t="s">
        <v>99</v>
      </c>
      <c r="F37" s="8" t="s">
        <v>102</v>
      </c>
      <c r="G37" s="8" t="s">
        <v>102</v>
      </c>
      <c r="H37" s="7" t="s">
        <v>44</v>
      </c>
      <c r="I37" s="5"/>
      <c r="J37" s="5"/>
    </row>
    <row r="38" spans="1:10" ht="15" customHeight="1">
      <c r="A38" s="7" t="s">
        <v>48</v>
      </c>
      <c r="B38" s="7" t="s">
        <v>52</v>
      </c>
      <c r="C38" s="7" t="s">
        <v>86</v>
      </c>
      <c r="D38" s="8" t="s">
        <v>93</v>
      </c>
      <c r="E38" s="8" t="s">
        <v>93</v>
      </c>
      <c r="F38" s="8" t="s">
        <v>96</v>
      </c>
      <c r="G38" s="8" t="s">
        <v>96</v>
      </c>
      <c r="H38" s="7" t="s">
        <v>44</v>
      </c>
      <c r="I38" s="5"/>
      <c r="J38" s="5"/>
    </row>
    <row r="39" spans="1:10" ht="15" customHeight="1">
      <c r="A39" s="7" t="s">
        <v>48</v>
      </c>
      <c r="B39" s="7" t="s">
        <v>52</v>
      </c>
      <c r="C39" s="7" t="s">
        <v>88</v>
      </c>
      <c r="D39" s="8" t="s">
        <v>96</v>
      </c>
      <c r="E39" s="8" t="s">
        <v>96</v>
      </c>
      <c r="F39" s="8" t="s">
        <v>99</v>
      </c>
      <c r="G39" s="8" t="s">
        <v>99</v>
      </c>
      <c r="H39" s="7" t="s">
        <v>44</v>
      </c>
      <c r="I39" s="5"/>
      <c r="J39" s="5"/>
    </row>
    <row r="40" spans="1:10" ht="15" customHeight="1">
      <c r="A40" s="7" t="s">
        <v>48</v>
      </c>
      <c r="B40" s="7" t="s">
        <v>52</v>
      </c>
      <c r="C40" s="7" t="s">
        <v>89</v>
      </c>
      <c r="D40" s="8" t="s">
        <v>99</v>
      </c>
      <c r="E40" s="8" t="s">
        <v>99</v>
      </c>
      <c r="F40" s="8" t="s">
        <v>102</v>
      </c>
      <c r="G40" s="8" t="s">
        <v>102</v>
      </c>
      <c r="H40" s="7" t="s">
        <v>44</v>
      </c>
      <c r="I40" s="5"/>
      <c r="J40" s="5"/>
    </row>
    <row r="41" spans="1:10" ht="15" customHeight="1">
      <c r="A41" s="7" t="s">
        <v>48</v>
      </c>
      <c r="B41" s="7" t="s">
        <v>52</v>
      </c>
      <c r="C41" s="7" t="s">
        <v>91</v>
      </c>
      <c r="D41" s="8" t="s">
        <v>102</v>
      </c>
      <c r="E41" s="8" t="s">
        <v>102</v>
      </c>
      <c r="F41" s="8" t="s">
        <v>103</v>
      </c>
      <c r="G41" s="8" t="s">
        <v>103</v>
      </c>
      <c r="H41" s="7" t="s">
        <v>44</v>
      </c>
      <c r="I41" s="5"/>
      <c r="J41" s="5"/>
    </row>
    <row r="42" spans="1:10" ht="15" customHeight="1">
      <c r="A42" s="7" t="s">
        <v>48</v>
      </c>
      <c r="B42" s="7" t="s">
        <v>52</v>
      </c>
      <c r="C42" s="7" t="s">
        <v>83</v>
      </c>
      <c r="D42" s="8" t="s">
        <v>103</v>
      </c>
      <c r="E42" s="8" t="s">
        <v>103</v>
      </c>
      <c r="F42" s="8" t="s">
        <v>104</v>
      </c>
      <c r="G42" s="8" t="s">
        <v>104</v>
      </c>
      <c r="H42" s="7" t="s">
        <v>44</v>
      </c>
      <c r="I42" s="5"/>
      <c r="J42" s="5"/>
    </row>
    <row r="43" spans="1:10" ht="15" customHeight="1">
      <c r="A43" s="7" t="s">
        <v>51</v>
      </c>
      <c r="B43" s="7" t="s">
        <v>105</v>
      </c>
      <c r="C43" s="7" t="s">
        <v>86</v>
      </c>
      <c r="D43" s="8" t="s">
        <v>93</v>
      </c>
      <c r="E43" s="8" t="s">
        <v>93</v>
      </c>
      <c r="F43" s="8" t="s">
        <v>96</v>
      </c>
      <c r="G43" s="8" t="s">
        <v>96</v>
      </c>
      <c r="H43" s="7" t="s">
        <v>44</v>
      </c>
      <c r="I43" s="5"/>
      <c r="J43" s="5"/>
    </row>
    <row r="44" spans="1:10" ht="15" customHeight="1">
      <c r="A44" s="7" t="s">
        <v>51</v>
      </c>
      <c r="B44" s="7" t="s">
        <v>105</v>
      </c>
      <c r="C44" s="7" t="s">
        <v>88</v>
      </c>
      <c r="D44" s="8" t="s">
        <v>96</v>
      </c>
      <c r="E44" s="8" t="s">
        <v>96</v>
      </c>
      <c r="F44" s="8" t="s">
        <v>99</v>
      </c>
      <c r="G44" s="8" t="s">
        <v>99</v>
      </c>
      <c r="H44" s="7" t="s">
        <v>44</v>
      </c>
      <c r="I44" s="5"/>
      <c r="J44" s="5"/>
    </row>
    <row r="45" spans="1:10" ht="15" customHeight="1">
      <c r="A45" s="7" t="s">
        <v>51</v>
      </c>
      <c r="B45" s="7" t="s">
        <v>105</v>
      </c>
      <c r="C45" s="7" t="s">
        <v>89</v>
      </c>
      <c r="D45" s="8" t="s">
        <v>99</v>
      </c>
      <c r="E45" s="8" t="s">
        <v>99</v>
      </c>
      <c r="F45" s="8" t="s">
        <v>102</v>
      </c>
      <c r="G45" s="8" t="s">
        <v>102</v>
      </c>
      <c r="H45" s="7" t="s">
        <v>44</v>
      </c>
      <c r="I45" s="5"/>
      <c r="J45" s="5"/>
    </row>
    <row r="46" spans="1:10" ht="15" customHeight="1">
      <c r="A46" s="7" t="s">
        <v>51</v>
      </c>
      <c r="B46" s="7" t="s">
        <v>105</v>
      </c>
      <c r="C46" s="7" t="s">
        <v>91</v>
      </c>
      <c r="D46" s="8" t="s">
        <v>102</v>
      </c>
      <c r="E46" s="8" t="s">
        <v>102</v>
      </c>
      <c r="F46" s="8" t="s">
        <v>103</v>
      </c>
      <c r="G46" s="8" t="s">
        <v>103</v>
      </c>
      <c r="H46" s="7" t="s">
        <v>44</v>
      </c>
      <c r="I46" s="5"/>
      <c r="J46" s="5"/>
    </row>
    <row r="47" spans="1:10" ht="15" customHeight="1">
      <c r="A47" s="7" t="s">
        <v>51</v>
      </c>
      <c r="B47" s="7" t="s">
        <v>105</v>
      </c>
      <c r="C47" s="7" t="s">
        <v>83</v>
      </c>
      <c r="D47" s="8" t="s">
        <v>103</v>
      </c>
      <c r="E47" s="8" t="s">
        <v>103</v>
      </c>
      <c r="F47" s="8" t="s">
        <v>104</v>
      </c>
      <c r="G47" s="8" t="s">
        <v>104</v>
      </c>
      <c r="H47" s="7" t="s">
        <v>44</v>
      </c>
      <c r="I47" s="5"/>
      <c r="J47" s="5"/>
    </row>
    <row r="48" spans="1:10" ht="15"/>
    <row r="49" ht="15"/>
    <row r="50" ht="15"/>
    <row r="51" ht="15"/>
    <row r="52" ht="15"/>
  </sheetData>
  <autoFilter ref="A1:F47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0B981"/>
  </sheetPr>
  <dimension ref="A1:I14"/>
  <sheetViews>
    <sheetView zoomScaleNormal="100" workbookViewId="0">
      <pane ySplit="2" topLeftCell="A14" activePane="bottomLeft" state="frozen"/>
      <selection pane="bottomLeft" activeCell="I22" sqref="I22"/>
    </sheetView>
  </sheetViews>
  <sheetFormatPr defaultColWidth="8.5703125" defaultRowHeight="14.45"/>
  <cols>
    <col min="1" max="1" width="17" customWidth="1"/>
    <col min="2" max="2" width="13.140625" customWidth="1"/>
    <col min="3" max="3" width="12" customWidth="1"/>
    <col min="4" max="7" width="19.5703125" customWidth="1"/>
    <col min="8" max="8" width="13.140625" customWidth="1"/>
    <col min="9" max="9" width="28.7109375" customWidth="1"/>
  </cols>
  <sheetData>
    <row r="1" spans="1:9" ht="14.25" customHeight="1">
      <c r="A1" s="9" t="s">
        <v>68</v>
      </c>
      <c r="B1" s="9" t="s">
        <v>8</v>
      </c>
      <c r="C1" s="9" t="s">
        <v>106</v>
      </c>
      <c r="D1" s="9" t="s">
        <v>107</v>
      </c>
      <c r="E1" s="9" t="s">
        <v>30</v>
      </c>
      <c r="F1" s="9" t="s">
        <v>108</v>
      </c>
      <c r="G1" s="9" t="s">
        <v>109</v>
      </c>
      <c r="H1" s="9" t="s">
        <v>110</v>
      </c>
      <c r="I1" s="9" t="s">
        <v>111</v>
      </c>
    </row>
    <row r="2" spans="1:9" ht="48" customHeight="1">
      <c r="A2" s="13" t="s">
        <v>112</v>
      </c>
      <c r="B2" s="13" t="s">
        <v>18</v>
      </c>
      <c r="C2" s="13" t="s">
        <v>113</v>
      </c>
      <c r="D2" s="13" t="s">
        <v>114</v>
      </c>
      <c r="E2" s="13" t="s">
        <v>115</v>
      </c>
      <c r="F2" s="13" t="s">
        <v>115</v>
      </c>
      <c r="G2" s="13" t="s">
        <v>115</v>
      </c>
      <c r="H2" s="13" t="s">
        <v>115</v>
      </c>
      <c r="I2" s="13" t="s">
        <v>116</v>
      </c>
    </row>
    <row r="3" spans="1:9" ht="23.85" customHeight="1">
      <c r="A3" s="14" t="s">
        <v>26</v>
      </c>
      <c r="B3" s="14" t="s">
        <v>117</v>
      </c>
      <c r="C3" s="14" t="s">
        <v>57</v>
      </c>
      <c r="D3" s="14" t="s">
        <v>110</v>
      </c>
      <c r="E3" s="14" t="s">
        <v>76</v>
      </c>
      <c r="F3" s="14" t="s">
        <v>76</v>
      </c>
      <c r="G3" s="14" t="s">
        <v>76</v>
      </c>
      <c r="H3" s="14" t="s">
        <v>76</v>
      </c>
      <c r="I3" s="17" t="s">
        <v>118</v>
      </c>
    </row>
    <row r="4" spans="1:9" ht="23.85" customHeight="1">
      <c r="A4" s="14" t="s">
        <v>26</v>
      </c>
      <c r="B4" s="14" t="s">
        <v>119</v>
      </c>
      <c r="C4" s="14" t="s">
        <v>119</v>
      </c>
      <c r="D4" s="14" t="s">
        <v>30</v>
      </c>
      <c r="E4" s="14" t="s">
        <v>85</v>
      </c>
      <c r="F4" s="14" t="s">
        <v>120</v>
      </c>
      <c r="G4" s="14" t="s">
        <v>120</v>
      </c>
      <c r="H4" s="14" t="s">
        <v>120</v>
      </c>
      <c r="I4" s="17" t="s">
        <v>121</v>
      </c>
    </row>
    <row r="5" spans="1:9" ht="23.85" customHeight="1">
      <c r="A5" s="14" t="s">
        <v>31</v>
      </c>
      <c r="B5" s="14" t="s">
        <v>34</v>
      </c>
      <c r="C5" s="14" t="s">
        <v>34</v>
      </c>
      <c r="D5" s="14" t="s">
        <v>30</v>
      </c>
      <c r="E5" s="14" t="s">
        <v>85</v>
      </c>
      <c r="F5" s="14" t="s">
        <v>120</v>
      </c>
      <c r="G5" s="14" t="s">
        <v>120</v>
      </c>
      <c r="H5" s="14" t="s">
        <v>120</v>
      </c>
      <c r="I5" s="17" t="s">
        <v>122</v>
      </c>
    </row>
    <row r="6" spans="1:9" ht="35.1" customHeight="1">
      <c r="A6" s="14" t="s">
        <v>33</v>
      </c>
      <c r="B6" s="14" t="s">
        <v>38</v>
      </c>
      <c r="C6" s="14" t="s">
        <v>38</v>
      </c>
      <c r="D6" s="14" t="s">
        <v>30</v>
      </c>
      <c r="E6" s="14" t="s">
        <v>85</v>
      </c>
      <c r="F6" s="14" t="s">
        <v>120</v>
      </c>
      <c r="G6" s="14" t="s">
        <v>120</v>
      </c>
      <c r="H6" s="14" t="s">
        <v>120</v>
      </c>
      <c r="I6" s="17" t="s">
        <v>122</v>
      </c>
    </row>
    <row r="7" spans="1:9" ht="35.1" customHeight="1">
      <c r="A7" s="14" t="s">
        <v>37</v>
      </c>
      <c r="B7" s="14" t="s">
        <v>42</v>
      </c>
      <c r="C7" s="14" t="s">
        <v>42</v>
      </c>
      <c r="D7" s="14" t="s">
        <v>45</v>
      </c>
      <c r="E7" s="14" t="s">
        <v>120</v>
      </c>
      <c r="F7" s="14" t="s">
        <v>120</v>
      </c>
      <c r="G7" s="14" t="s">
        <v>120</v>
      </c>
      <c r="H7" s="14" t="s">
        <v>120</v>
      </c>
      <c r="I7" s="17" t="s">
        <v>123</v>
      </c>
    </row>
    <row r="8" spans="1:9" ht="35.1" customHeight="1">
      <c r="A8" s="14" t="s">
        <v>41</v>
      </c>
      <c r="B8" s="14" t="s">
        <v>47</v>
      </c>
      <c r="C8" s="14" t="s">
        <v>47</v>
      </c>
      <c r="D8" s="14" t="s">
        <v>45</v>
      </c>
      <c r="E8" s="14" t="s">
        <v>120</v>
      </c>
      <c r="F8" s="14" t="s">
        <v>120</v>
      </c>
      <c r="G8" s="14" t="s">
        <v>120</v>
      </c>
      <c r="H8" s="14" t="s">
        <v>120</v>
      </c>
      <c r="I8" s="17" t="s">
        <v>123</v>
      </c>
    </row>
    <row r="9" spans="1:9" ht="23.85" customHeight="1">
      <c r="A9" s="14" t="s">
        <v>46</v>
      </c>
      <c r="B9" s="14" t="s">
        <v>49</v>
      </c>
      <c r="C9" s="14" t="s">
        <v>49</v>
      </c>
      <c r="D9" s="14" t="s">
        <v>45</v>
      </c>
      <c r="E9" s="14" t="s">
        <v>120</v>
      </c>
      <c r="F9" s="14" t="s">
        <v>120</v>
      </c>
      <c r="G9" s="14" t="s">
        <v>120</v>
      </c>
      <c r="H9" s="14" t="s">
        <v>120</v>
      </c>
      <c r="I9" s="17" t="s">
        <v>124</v>
      </c>
    </row>
    <row r="10" spans="1:9" ht="23.85" customHeight="1">
      <c r="A10" s="14" t="s">
        <v>48</v>
      </c>
      <c r="B10" s="14" t="s">
        <v>52</v>
      </c>
      <c r="C10" s="14" t="s">
        <v>52</v>
      </c>
      <c r="D10" s="14" t="s">
        <v>45</v>
      </c>
      <c r="E10" s="14" t="s">
        <v>120</v>
      </c>
      <c r="F10" s="14" t="s">
        <v>120</v>
      </c>
      <c r="G10" s="14" t="s">
        <v>120</v>
      </c>
      <c r="H10" s="14" t="s">
        <v>120</v>
      </c>
      <c r="I10" s="17" t="s">
        <v>124</v>
      </c>
    </row>
    <row r="11" spans="1:9" ht="23.85" customHeight="1">
      <c r="A11" s="14" t="s">
        <v>53</v>
      </c>
      <c r="B11" s="17" t="s">
        <v>54</v>
      </c>
      <c r="C11" s="17" t="s">
        <v>54</v>
      </c>
      <c r="D11" s="14" t="s">
        <v>45</v>
      </c>
      <c r="E11" s="14" t="s">
        <v>120</v>
      </c>
      <c r="F11" s="14" t="s">
        <v>120</v>
      </c>
      <c r="G11" s="14" t="s">
        <v>120</v>
      </c>
      <c r="H11" s="14" t="s">
        <v>120</v>
      </c>
      <c r="I11" s="17" t="s">
        <v>125</v>
      </c>
    </row>
    <row r="12" spans="1:9" ht="15"/>
    <row r="13" spans="1:9" ht="15"/>
    <row r="14" spans="1:9" ht="15"/>
  </sheetData>
  <autoFilter ref="A1:H11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L17"/>
  <sheetViews>
    <sheetView zoomScaleNormal="100" workbookViewId="0">
      <pane ySplit="2" topLeftCell="A3" activePane="bottomLeft" state="frozen"/>
      <selection pane="bottomLeft" activeCell="P8" sqref="P8"/>
    </sheetView>
  </sheetViews>
  <sheetFormatPr defaultColWidth="8.5703125" defaultRowHeight="14.45"/>
  <cols>
    <col min="1" max="2" width="12" customWidth="1"/>
    <col min="3" max="3" width="15.7109375" customWidth="1"/>
    <col min="4" max="4" width="28.7109375" customWidth="1"/>
    <col min="5" max="6" width="17" customWidth="1"/>
    <col min="7" max="7" width="15.7109375" customWidth="1"/>
    <col min="8" max="8" width="26.140625" customWidth="1"/>
    <col min="9" max="9" width="18.28515625" customWidth="1"/>
    <col min="10" max="11" width="12" customWidth="1"/>
    <col min="12" max="12" width="21.28515625" customWidth="1"/>
  </cols>
  <sheetData>
    <row r="1" spans="1:12" ht="26.85" customHeight="1">
      <c r="A1" s="9" t="s">
        <v>7</v>
      </c>
      <c r="B1" s="9" t="s">
        <v>126</v>
      </c>
      <c r="C1" s="9" t="s">
        <v>127</v>
      </c>
      <c r="D1" s="9" t="s">
        <v>128</v>
      </c>
      <c r="E1" s="9" t="s">
        <v>129</v>
      </c>
      <c r="F1" s="9" t="s">
        <v>130</v>
      </c>
      <c r="G1" s="9" t="s">
        <v>131</v>
      </c>
      <c r="H1" s="9" t="s">
        <v>132</v>
      </c>
      <c r="I1" s="9" t="s">
        <v>10</v>
      </c>
      <c r="J1" s="9" t="s">
        <v>11</v>
      </c>
      <c r="K1" s="9" t="s">
        <v>133</v>
      </c>
      <c r="L1" s="34" t="s">
        <v>134</v>
      </c>
    </row>
    <row r="2" spans="1:12" ht="48" customHeight="1">
      <c r="A2" s="13" t="s">
        <v>18</v>
      </c>
      <c r="B2" s="13" t="s">
        <v>135</v>
      </c>
      <c r="C2" s="13" t="s">
        <v>136</v>
      </c>
      <c r="D2" s="13" t="s">
        <v>19</v>
      </c>
      <c r="E2" s="13" t="s">
        <v>137</v>
      </c>
      <c r="F2" s="13" t="s">
        <v>138</v>
      </c>
      <c r="G2" s="13" t="s">
        <v>139</v>
      </c>
      <c r="H2" s="13" t="s">
        <v>140</v>
      </c>
      <c r="I2" s="13" t="s">
        <v>116</v>
      </c>
      <c r="J2" s="13" t="s">
        <v>141</v>
      </c>
      <c r="K2" s="13" t="s">
        <v>25</v>
      </c>
      <c r="L2" s="13" t="s">
        <v>25</v>
      </c>
    </row>
    <row r="3" spans="1:12" ht="35.1" customHeight="1">
      <c r="A3" s="14" t="s">
        <v>142</v>
      </c>
      <c r="B3" s="14" t="s">
        <v>143</v>
      </c>
      <c r="C3" s="14" t="s">
        <v>144</v>
      </c>
      <c r="D3" s="14" t="s">
        <v>145</v>
      </c>
      <c r="E3" s="14" t="s">
        <v>146</v>
      </c>
      <c r="F3" s="14" t="s">
        <v>146</v>
      </c>
      <c r="G3" s="14" t="s">
        <v>147</v>
      </c>
      <c r="H3" s="14" t="s">
        <v>148</v>
      </c>
      <c r="I3" s="14" t="s">
        <v>124</v>
      </c>
      <c r="J3" s="14" t="s">
        <v>149</v>
      </c>
      <c r="K3" s="14" t="s">
        <v>150</v>
      </c>
      <c r="L3" s="40">
        <v>46096</v>
      </c>
    </row>
    <row r="4" spans="1:12" ht="24.75" customHeight="1">
      <c r="A4" s="14" t="s">
        <v>151</v>
      </c>
      <c r="B4" s="14" t="s">
        <v>143</v>
      </c>
      <c r="C4" s="14" t="s">
        <v>152</v>
      </c>
      <c r="D4" s="14" t="s">
        <v>153</v>
      </c>
      <c r="E4" s="14" t="s">
        <v>146</v>
      </c>
      <c r="F4" s="14" t="s">
        <v>146</v>
      </c>
      <c r="G4" s="14" t="s">
        <v>154</v>
      </c>
      <c r="H4" s="14" t="s">
        <v>155</v>
      </c>
      <c r="I4" s="14" t="s">
        <v>156</v>
      </c>
      <c r="J4" s="14" t="s">
        <v>149</v>
      </c>
      <c r="K4" s="14" t="s">
        <v>157</v>
      </c>
      <c r="L4" s="32">
        <v>46081</v>
      </c>
    </row>
    <row r="5" spans="1:12" ht="24.75" customHeight="1">
      <c r="A5" s="14" t="s">
        <v>158</v>
      </c>
      <c r="B5" s="14" t="s">
        <v>159</v>
      </c>
      <c r="C5" s="14" t="s">
        <v>160</v>
      </c>
      <c r="D5" s="14" t="s">
        <v>161</v>
      </c>
      <c r="E5" s="14" t="s">
        <v>146</v>
      </c>
      <c r="F5" s="14" t="s">
        <v>162</v>
      </c>
      <c r="G5" s="14" t="s">
        <v>163</v>
      </c>
      <c r="H5" s="14" t="s">
        <v>164</v>
      </c>
      <c r="I5" s="14" t="s">
        <v>165</v>
      </c>
      <c r="J5" s="14" t="s">
        <v>166</v>
      </c>
      <c r="K5" s="14" t="s">
        <v>167</v>
      </c>
      <c r="L5" s="32">
        <v>46122</v>
      </c>
    </row>
    <row r="6" spans="1:12" ht="24.75" customHeight="1">
      <c r="A6" s="14" t="s">
        <v>168</v>
      </c>
      <c r="B6" s="14" t="s">
        <v>159</v>
      </c>
      <c r="C6" s="14" t="s">
        <v>169</v>
      </c>
      <c r="D6" s="14" t="s">
        <v>170</v>
      </c>
      <c r="E6" s="14" t="s">
        <v>171</v>
      </c>
      <c r="F6" s="14" t="s">
        <v>171</v>
      </c>
      <c r="G6" s="14" t="s">
        <v>147</v>
      </c>
      <c r="H6" s="14" t="s">
        <v>172</v>
      </c>
      <c r="I6" s="14" t="s">
        <v>173</v>
      </c>
      <c r="J6" s="14" t="s">
        <v>174</v>
      </c>
      <c r="K6" s="14" t="s">
        <v>175</v>
      </c>
      <c r="L6" s="32">
        <v>46082</v>
      </c>
    </row>
    <row r="7" spans="1:12" ht="46.35" customHeight="1">
      <c r="A7" s="14" t="s">
        <v>176</v>
      </c>
      <c r="B7" s="14" t="s">
        <v>159</v>
      </c>
      <c r="C7" s="14" t="s">
        <v>177</v>
      </c>
      <c r="D7" s="14" t="s">
        <v>153</v>
      </c>
      <c r="E7" s="14" t="s">
        <v>171</v>
      </c>
      <c r="F7" s="14" t="s">
        <v>171</v>
      </c>
      <c r="G7" s="14" t="s">
        <v>154</v>
      </c>
      <c r="H7" s="14" t="s">
        <v>178</v>
      </c>
      <c r="I7" s="14" t="s">
        <v>123</v>
      </c>
      <c r="J7" s="14" t="s">
        <v>174</v>
      </c>
      <c r="K7" s="14" t="s">
        <v>157</v>
      </c>
      <c r="L7" s="32">
        <v>46101</v>
      </c>
    </row>
    <row r="8" spans="1:12" ht="57.6" customHeight="1">
      <c r="A8" s="17" t="s">
        <v>179</v>
      </c>
      <c r="B8" s="17" t="s">
        <v>180</v>
      </c>
      <c r="C8" s="17" t="s">
        <v>181</v>
      </c>
      <c r="D8" s="17"/>
      <c r="E8" s="17"/>
      <c r="F8" s="17"/>
      <c r="G8" s="17"/>
      <c r="H8" s="17"/>
      <c r="I8" s="17" t="s">
        <v>182</v>
      </c>
      <c r="J8" s="17" t="s">
        <v>120</v>
      </c>
      <c r="K8" s="17" t="s">
        <v>183</v>
      </c>
      <c r="L8" s="41" t="s">
        <v>184</v>
      </c>
    </row>
    <row r="9" spans="1:12" ht="57.6" customHeight="1">
      <c r="A9" s="17" t="s">
        <v>185</v>
      </c>
      <c r="B9" s="17" t="s">
        <v>180</v>
      </c>
      <c r="C9" s="17" t="s">
        <v>186</v>
      </c>
      <c r="D9" s="17"/>
      <c r="E9" s="17"/>
      <c r="F9" s="17"/>
      <c r="G9" s="17"/>
      <c r="H9" s="17"/>
      <c r="I9" s="17" t="s">
        <v>182</v>
      </c>
      <c r="J9" s="17" t="s">
        <v>120</v>
      </c>
      <c r="K9" s="17" t="s">
        <v>187</v>
      </c>
      <c r="L9" s="41" t="s">
        <v>184</v>
      </c>
    </row>
    <row r="10" spans="1:12" ht="68.650000000000006" customHeight="1">
      <c r="A10" s="17" t="s">
        <v>188</v>
      </c>
      <c r="B10" s="17" t="s">
        <v>180</v>
      </c>
      <c r="C10" s="17" t="s">
        <v>189</v>
      </c>
      <c r="D10" s="17"/>
      <c r="E10" s="17"/>
      <c r="F10" s="17"/>
      <c r="G10" s="17"/>
      <c r="H10" s="17"/>
      <c r="I10" s="17" t="s">
        <v>182</v>
      </c>
      <c r="J10" s="17" t="s">
        <v>120</v>
      </c>
      <c r="K10" s="17" t="s">
        <v>190</v>
      </c>
      <c r="L10" s="32">
        <v>46111</v>
      </c>
    </row>
    <row r="11" spans="1:12" ht="79.900000000000006" customHeight="1">
      <c r="A11" s="17" t="s">
        <v>191</v>
      </c>
      <c r="B11" s="17" t="s">
        <v>192</v>
      </c>
      <c r="C11" s="17" t="s">
        <v>193</v>
      </c>
      <c r="D11" s="17"/>
      <c r="E11" s="17"/>
      <c r="F11" s="17"/>
      <c r="G11" s="17"/>
      <c r="H11" s="17"/>
      <c r="I11" s="17" t="s">
        <v>57</v>
      </c>
      <c r="J11" s="24" t="s">
        <v>76</v>
      </c>
      <c r="K11" s="25" t="s">
        <v>194</v>
      </c>
      <c r="L11" s="32">
        <v>46127</v>
      </c>
    </row>
    <row r="12" spans="1:12" ht="46.35" customHeight="1">
      <c r="A12" s="17" t="s">
        <v>195</v>
      </c>
      <c r="B12" s="17" t="s">
        <v>192</v>
      </c>
      <c r="C12" s="17" t="s">
        <v>196</v>
      </c>
      <c r="D12" s="17"/>
      <c r="E12" s="17"/>
      <c r="F12" s="17"/>
      <c r="G12" s="17"/>
      <c r="H12" s="17"/>
      <c r="I12" s="17" t="s">
        <v>55</v>
      </c>
      <c r="J12" s="24" t="s">
        <v>76</v>
      </c>
      <c r="K12" s="25" t="s">
        <v>197</v>
      </c>
      <c r="L12" s="28"/>
    </row>
    <row r="13" spans="1:12" ht="15">
      <c r="L13" s="28"/>
    </row>
    <row r="14" spans="1:12" ht="15">
      <c r="L14" s="28"/>
    </row>
    <row r="15" spans="1:12" ht="15">
      <c r="L15" s="28"/>
    </row>
    <row r="16" spans="1:12" ht="15">
      <c r="L16" s="28"/>
    </row>
    <row r="17" spans="12:12" ht="15">
      <c r="L17" s="28"/>
    </row>
  </sheetData>
  <autoFilter ref="A1:K7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CC812-A5C2-4855-9BD6-B728511DCF28}">
  <dimension ref="A1:G17"/>
  <sheetViews>
    <sheetView workbookViewId="0">
      <selection activeCell="M10" sqref="M10"/>
    </sheetView>
  </sheetViews>
  <sheetFormatPr defaultRowHeight="15"/>
  <sheetData>
    <row r="1" spans="1:7">
      <c r="A1" s="26" t="s">
        <v>198</v>
      </c>
      <c r="B1" s="27" t="s">
        <v>199</v>
      </c>
      <c r="C1" s="28"/>
      <c r="D1" s="28"/>
      <c r="E1" s="28"/>
      <c r="F1" s="28"/>
      <c r="G1" s="28"/>
    </row>
    <row r="2" spans="1:7">
      <c r="A2" s="30" t="s">
        <v>25</v>
      </c>
      <c r="B2" s="31" t="s">
        <v>200</v>
      </c>
      <c r="C2" s="28"/>
      <c r="D2" s="28"/>
      <c r="E2" s="28"/>
      <c r="F2" s="28"/>
      <c r="G2" s="28"/>
    </row>
    <row r="3" spans="1:7">
      <c r="A3" s="32">
        <v>46056</v>
      </c>
      <c r="B3" s="29">
        <v>3.2</v>
      </c>
      <c r="C3" s="28"/>
      <c r="D3" s="28"/>
      <c r="E3" s="28"/>
      <c r="F3" s="28"/>
      <c r="G3" s="28"/>
    </row>
    <row r="4" spans="1:7">
      <c r="A4" s="32">
        <v>46057</v>
      </c>
      <c r="B4" s="29">
        <v>3.2</v>
      </c>
      <c r="C4" s="28"/>
      <c r="D4" s="28"/>
      <c r="E4" s="28"/>
      <c r="F4" s="28"/>
      <c r="G4" s="28"/>
    </row>
    <row r="5" spans="1:7">
      <c r="A5" s="32">
        <v>46058</v>
      </c>
      <c r="B5" s="29">
        <v>3.5</v>
      </c>
      <c r="C5" s="28"/>
      <c r="D5" s="28"/>
      <c r="E5" s="28"/>
      <c r="F5" s="28"/>
      <c r="G5" s="28"/>
    </row>
    <row r="6" spans="1:7">
      <c r="A6" s="32">
        <v>46059</v>
      </c>
      <c r="B6" s="29">
        <v>3.7</v>
      </c>
      <c r="C6" s="28"/>
      <c r="D6" s="28"/>
      <c r="E6" s="28"/>
      <c r="F6" s="28"/>
      <c r="G6" s="28"/>
    </row>
    <row r="7" spans="1:7">
      <c r="A7" s="32">
        <v>46060</v>
      </c>
      <c r="B7" s="29">
        <v>3.7</v>
      </c>
      <c r="C7" s="28"/>
      <c r="D7" s="28"/>
      <c r="E7" s="28"/>
      <c r="F7" s="28"/>
      <c r="G7" s="28"/>
    </row>
    <row r="8" spans="1:7">
      <c r="A8" s="32">
        <v>46063</v>
      </c>
      <c r="B8" s="29">
        <v>4</v>
      </c>
      <c r="C8" s="28"/>
      <c r="D8" s="28"/>
      <c r="E8" s="28"/>
      <c r="F8" s="28"/>
      <c r="G8" s="28"/>
    </row>
    <row r="9" spans="1:7">
      <c r="A9" s="32">
        <v>46064</v>
      </c>
      <c r="B9" s="29">
        <v>4</v>
      </c>
      <c r="C9" s="28"/>
      <c r="D9" s="28"/>
      <c r="E9" s="28"/>
      <c r="F9" s="28"/>
      <c r="G9" s="28"/>
    </row>
    <row r="10" spans="1:7">
      <c r="A10" s="32">
        <v>46065</v>
      </c>
      <c r="B10" s="29">
        <v>4.2</v>
      </c>
      <c r="C10" s="28"/>
      <c r="D10" s="28"/>
      <c r="E10" s="28"/>
      <c r="F10" s="28"/>
      <c r="G10" s="28"/>
    </row>
    <row r="11" spans="1:7">
      <c r="A11" s="32">
        <v>46066</v>
      </c>
      <c r="B11" s="29">
        <v>4.5</v>
      </c>
      <c r="C11" s="28"/>
      <c r="D11" s="28"/>
      <c r="E11" s="28"/>
      <c r="F11" s="28"/>
      <c r="G11" s="28"/>
    </row>
    <row r="12" spans="1:7">
      <c r="A12" s="28"/>
      <c r="B12" s="28"/>
      <c r="C12" s="28"/>
      <c r="D12" s="28"/>
      <c r="E12" s="28"/>
      <c r="F12" s="28"/>
      <c r="G12" s="28"/>
    </row>
    <row r="13" spans="1:7">
      <c r="A13" s="28"/>
      <c r="B13" s="28"/>
      <c r="C13" s="28"/>
      <c r="D13" s="28"/>
      <c r="E13" s="28"/>
      <c r="F13" s="28"/>
      <c r="G13" s="28"/>
    </row>
    <row r="14" spans="1:7">
      <c r="A14" s="28"/>
      <c r="B14" s="28"/>
      <c r="C14" s="28"/>
      <c r="D14" s="28"/>
      <c r="E14" s="28"/>
      <c r="F14" s="28"/>
      <c r="G14" s="28"/>
    </row>
    <row r="15" spans="1:7">
      <c r="A15" s="28"/>
      <c r="B15" s="28"/>
      <c r="C15" s="28"/>
      <c r="D15" s="28"/>
      <c r="E15" s="28"/>
      <c r="F15" s="28"/>
      <c r="G15" s="28"/>
    </row>
    <row r="16" spans="1:7">
      <c r="A16" s="28"/>
      <c r="B16" s="28"/>
      <c r="C16" s="28"/>
      <c r="D16" s="28"/>
      <c r="E16" s="28"/>
      <c r="F16" s="28"/>
      <c r="G16" s="28"/>
    </row>
    <row r="17" spans="1:7">
      <c r="A17" s="28"/>
      <c r="B17" s="28"/>
      <c r="C17" s="28"/>
      <c r="D17" s="28"/>
      <c r="E17" s="28"/>
      <c r="F17" s="28"/>
      <c r="G17" s="28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C3AED"/>
  </sheetPr>
  <dimension ref="A1:E63"/>
  <sheetViews>
    <sheetView zoomScaleNormal="100" workbookViewId="0">
      <pane ySplit="2" topLeftCell="B6" activePane="bottomLeft" state="frozen"/>
      <selection pane="bottomLeft" activeCell="B6" sqref="B6"/>
    </sheetView>
  </sheetViews>
  <sheetFormatPr defaultColWidth="15.5703125" defaultRowHeight="15"/>
  <cols>
    <col min="1" max="1" width="23.42578125" customWidth="1"/>
    <col min="2" max="2" width="47.5703125" customWidth="1"/>
    <col min="3" max="3" width="40.85546875" customWidth="1"/>
    <col min="4" max="4" width="41" customWidth="1"/>
  </cols>
  <sheetData>
    <row r="1" spans="1:5">
      <c r="A1" s="9" t="s">
        <v>201</v>
      </c>
      <c r="B1" s="9" t="s">
        <v>202</v>
      </c>
      <c r="C1" s="9" t="s">
        <v>116</v>
      </c>
      <c r="D1" s="9" t="s">
        <v>203</v>
      </c>
      <c r="E1" s="9" t="s">
        <v>9</v>
      </c>
    </row>
    <row r="2" spans="1:5" ht="66.75">
      <c r="A2" s="13" t="s">
        <v>204</v>
      </c>
      <c r="B2" s="13" t="s">
        <v>205</v>
      </c>
      <c r="C2" s="13" t="s">
        <v>206</v>
      </c>
      <c r="D2" s="13" t="s">
        <v>207</v>
      </c>
      <c r="E2" s="13" t="s">
        <v>208</v>
      </c>
    </row>
    <row r="3" spans="1:5" ht="48">
      <c r="A3" s="14" t="s">
        <v>209</v>
      </c>
      <c r="B3" s="14" t="s">
        <v>210</v>
      </c>
      <c r="C3" s="14" t="s">
        <v>211</v>
      </c>
      <c r="D3" s="14" t="s">
        <v>212</v>
      </c>
      <c r="E3" s="14" t="s">
        <v>182</v>
      </c>
    </row>
    <row r="4" spans="1:5" ht="36">
      <c r="A4" s="14" t="s">
        <v>213</v>
      </c>
      <c r="B4" s="14" t="s">
        <v>214</v>
      </c>
      <c r="C4" s="14" t="s">
        <v>215</v>
      </c>
      <c r="D4" s="14" t="s">
        <v>216</v>
      </c>
      <c r="E4" s="14" t="s">
        <v>35</v>
      </c>
    </row>
    <row r="5" spans="1:5" ht="36">
      <c r="A5" s="14" t="s">
        <v>213</v>
      </c>
      <c r="B5" s="14" t="s">
        <v>214</v>
      </c>
      <c r="C5" s="14" t="s">
        <v>217</v>
      </c>
      <c r="D5" s="14" t="s">
        <v>218</v>
      </c>
      <c r="E5" s="14" t="s">
        <v>219</v>
      </c>
    </row>
    <row r="6" spans="1:5" ht="36">
      <c r="A6" s="14" t="s">
        <v>213</v>
      </c>
      <c r="B6" s="14" t="s">
        <v>214</v>
      </c>
      <c r="C6" s="14" t="s">
        <v>220</v>
      </c>
      <c r="D6" s="14" t="s">
        <v>221</v>
      </c>
      <c r="E6" s="14" t="s">
        <v>222</v>
      </c>
    </row>
    <row r="7" spans="1:5" ht="24">
      <c r="A7" s="14" t="s">
        <v>213</v>
      </c>
      <c r="B7" s="14" t="s">
        <v>214</v>
      </c>
      <c r="C7" s="14" t="s">
        <v>223</v>
      </c>
      <c r="D7" s="14" t="s">
        <v>224</v>
      </c>
      <c r="E7" s="14" t="s">
        <v>27</v>
      </c>
    </row>
    <row r="8" spans="1:5" ht="36">
      <c r="A8" s="14" t="s">
        <v>225</v>
      </c>
      <c r="B8" s="14" t="s">
        <v>226</v>
      </c>
      <c r="C8" s="14" t="s">
        <v>227</v>
      </c>
      <c r="D8" s="14" t="s">
        <v>228</v>
      </c>
      <c r="E8" s="17" t="s">
        <v>39</v>
      </c>
    </row>
    <row r="9" spans="1:5" ht="36">
      <c r="A9" s="14" t="s">
        <v>225</v>
      </c>
      <c r="B9" s="14" t="s">
        <v>226</v>
      </c>
      <c r="C9" s="14" t="s">
        <v>229</v>
      </c>
      <c r="D9" s="14" t="s">
        <v>226</v>
      </c>
      <c r="E9" s="14" t="s">
        <v>222</v>
      </c>
    </row>
    <row r="10" spans="1:5" ht="36">
      <c r="A10" s="14" t="s">
        <v>225</v>
      </c>
      <c r="B10" s="14" t="s">
        <v>230</v>
      </c>
      <c r="C10" s="14" t="s">
        <v>28</v>
      </c>
      <c r="D10" s="14" t="s">
        <v>231</v>
      </c>
      <c r="E10" s="14" t="s">
        <v>222</v>
      </c>
    </row>
    <row r="11" spans="1:5" ht="24">
      <c r="A11" s="14" t="s">
        <v>225</v>
      </c>
      <c r="B11" s="14" t="s">
        <v>226</v>
      </c>
      <c r="C11" s="14" t="s">
        <v>232</v>
      </c>
      <c r="D11" s="14" t="s">
        <v>233</v>
      </c>
      <c r="E11" s="14" t="s">
        <v>234</v>
      </c>
    </row>
    <row r="12" spans="1:5" ht="36">
      <c r="A12" s="14" t="s">
        <v>225</v>
      </c>
      <c r="B12" s="14" t="s">
        <v>226</v>
      </c>
      <c r="C12" s="14" t="s">
        <v>235</v>
      </c>
      <c r="D12" s="14" t="s">
        <v>236</v>
      </c>
      <c r="E12" s="17" t="s">
        <v>237</v>
      </c>
    </row>
    <row r="13" spans="1:5" ht="36">
      <c r="A13" s="14" t="s">
        <v>238</v>
      </c>
      <c r="B13" s="14" t="s">
        <v>239</v>
      </c>
      <c r="C13" s="14" t="s">
        <v>240</v>
      </c>
      <c r="D13" s="14" t="s">
        <v>239</v>
      </c>
      <c r="E13" s="14" t="s">
        <v>222</v>
      </c>
    </row>
    <row r="14" spans="1:5" ht="36">
      <c r="A14" s="14" t="s">
        <v>238</v>
      </c>
      <c r="B14" s="14" t="s">
        <v>241</v>
      </c>
      <c r="C14" s="14" t="s">
        <v>242</v>
      </c>
      <c r="D14" s="14" t="s">
        <v>241</v>
      </c>
      <c r="E14" s="14" t="s">
        <v>222</v>
      </c>
    </row>
    <row r="15" spans="1:5" ht="36">
      <c r="A15" s="14" t="s">
        <v>243</v>
      </c>
      <c r="B15" s="14" t="s">
        <v>244</v>
      </c>
      <c r="C15" s="14" t="s">
        <v>245</v>
      </c>
      <c r="D15" s="14" t="s">
        <v>244</v>
      </c>
      <c r="E15" s="14" t="s">
        <v>222</v>
      </c>
    </row>
    <row r="16" spans="1:5" ht="24">
      <c r="A16" s="14" t="s">
        <v>243</v>
      </c>
      <c r="B16" s="14"/>
      <c r="C16" s="14" t="s">
        <v>213</v>
      </c>
      <c r="D16" s="14"/>
      <c r="E16" s="14"/>
    </row>
    <row r="17" spans="1:5" ht="24">
      <c r="A17" s="14" t="s">
        <v>243</v>
      </c>
      <c r="B17" s="14"/>
      <c r="C17" s="14" t="s">
        <v>246</v>
      </c>
      <c r="D17" s="14"/>
      <c r="E17" s="14"/>
    </row>
    <row r="18" spans="1:5" ht="36">
      <c r="A18" s="14" t="s">
        <v>247</v>
      </c>
      <c r="B18" s="14" t="s">
        <v>248</v>
      </c>
      <c r="C18" s="14" t="s">
        <v>249</v>
      </c>
      <c r="D18" s="14" t="s">
        <v>248</v>
      </c>
      <c r="E18" s="14" t="s">
        <v>222</v>
      </c>
    </row>
    <row r="19" spans="1:5" ht="36">
      <c r="A19" s="14" t="s">
        <v>247</v>
      </c>
      <c r="B19" s="14" t="s">
        <v>248</v>
      </c>
      <c r="C19" s="14" t="s">
        <v>118</v>
      </c>
      <c r="D19" s="14" t="s">
        <v>248</v>
      </c>
      <c r="E19" s="14" t="s">
        <v>222</v>
      </c>
    </row>
    <row r="20" spans="1:5" ht="36">
      <c r="A20" s="14" t="s">
        <v>247</v>
      </c>
      <c r="B20" s="14" t="s">
        <v>248</v>
      </c>
      <c r="C20" s="14" t="s">
        <v>250</v>
      </c>
      <c r="D20" s="14" t="s">
        <v>248</v>
      </c>
      <c r="E20" s="14" t="s">
        <v>222</v>
      </c>
    </row>
    <row r="21" spans="1:5" ht="24">
      <c r="A21" s="14" t="s">
        <v>247</v>
      </c>
      <c r="B21" s="14" t="s">
        <v>251</v>
      </c>
      <c r="C21" s="14" t="s">
        <v>232</v>
      </c>
      <c r="D21" s="14"/>
      <c r="E21" s="14" t="s">
        <v>234</v>
      </c>
    </row>
    <row r="22" spans="1:5" ht="24">
      <c r="A22" s="14" t="s">
        <v>247</v>
      </c>
      <c r="B22" s="14" t="s">
        <v>226</v>
      </c>
      <c r="C22" s="14" t="s">
        <v>252</v>
      </c>
      <c r="D22" s="14"/>
      <c r="E22" s="14" t="s">
        <v>234</v>
      </c>
    </row>
    <row r="23" spans="1:5">
      <c r="A23" s="14" t="s">
        <v>247</v>
      </c>
      <c r="B23" s="14" t="s">
        <v>253</v>
      </c>
      <c r="C23" s="14" t="s">
        <v>254</v>
      </c>
      <c r="D23" s="14" t="s">
        <v>253</v>
      </c>
      <c r="E23" s="14" t="s">
        <v>234</v>
      </c>
    </row>
    <row r="24" spans="1:5" ht="36">
      <c r="A24" s="14" t="s">
        <v>247</v>
      </c>
      <c r="B24" s="14" t="s">
        <v>255</v>
      </c>
      <c r="C24" t="s">
        <v>256</v>
      </c>
      <c r="D24" s="14" t="s">
        <v>253</v>
      </c>
      <c r="E24" s="14" t="s">
        <v>237</v>
      </c>
    </row>
    <row r="25" spans="1:5" ht="36">
      <c r="A25" s="14" t="s">
        <v>247</v>
      </c>
      <c r="B25" s="14" t="s">
        <v>257</v>
      </c>
      <c r="C25" t="s">
        <v>258</v>
      </c>
      <c r="D25" s="14" t="s">
        <v>253</v>
      </c>
      <c r="E25" s="14" t="s">
        <v>237</v>
      </c>
    </row>
    <row r="26" spans="1:5" ht="36">
      <c r="A26" s="14" t="s">
        <v>247</v>
      </c>
      <c r="B26" s="14" t="s">
        <v>259</v>
      </c>
      <c r="C26" s="14" t="s">
        <v>260</v>
      </c>
      <c r="D26" s="14" t="s">
        <v>253</v>
      </c>
      <c r="E26" s="14" t="s">
        <v>237</v>
      </c>
    </row>
    <row r="27" spans="1:5" ht="36">
      <c r="A27" s="14" t="s">
        <v>247</v>
      </c>
      <c r="B27" s="14" t="s">
        <v>261</v>
      </c>
      <c r="C27" s="14" t="s">
        <v>262</v>
      </c>
      <c r="D27" s="14" t="s">
        <v>253</v>
      </c>
      <c r="E27" s="14" t="s">
        <v>237</v>
      </c>
    </row>
    <row r="28" spans="1:5" ht="60">
      <c r="A28" s="14" t="s">
        <v>247</v>
      </c>
      <c r="B28" s="14" t="s">
        <v>263</v>
      </c>
      <c r="C28" s="14" t="s">
        <v>264</v>
      </c>
      <c r="D28" s="14" t="s">
        <v>253</v>
      </c>
      <c r="E28" s="14" t="s">
        <v>237</v>
      </c>
    </row>
    <row r="29" spans="1:5" ht="36">
      <c r="A29" s="14" t="s">
        <v>247</v>
      </c>
      <c r="B29" s="14" t="s">
        <v>265</v>
      </c>
      <c r="C29" s="14" t="s">
        <v>266</v>
      </c>
      <c r="D29" s="14" t="s">
        <v>253</v>
      </c>
      <c r="E29" s="14" t="s">
        <v>237</v>
      </c>
    </row>
    <row r="30" spans="1:5" ht="48">
      <c r="A30" s="14" t="s">
        <v>247</v>
      </c>
      <c r="B30" s="14" t="s">
        <v>267</v>
      </c>
      <c r="C30" s="14" t="s">
        <v>268</v>
      </c>
      <c r="D30" s="14" t="s">
        <v>253</v>
      </c>
      <c r="E30" s="14" t="s">
        <v>237</v>
      </c>
    </row>
    <row r="31" spans="1:5" ht="24">
      <c r="A31" s="14" t="s">
        <v>247</v>
      </c>
      <c r="B31" s="14" t="s">
        <v>269</v>
      </c>
      <c r="C31" s="14" t="s">
        <v>270</v>
      </c>
      <c r="D31" s="14" t="s">
        <v>271</v>
      </c>
      <c r="E31" s="14" t="s">
        <v>32</v>
      </c>
    </row>
    <row r="32" spans="1:5" ht="36">
      <c r="A32" s="14" t="s">
        <v>247</v>
      </c>
      <c r="B32" s="14" t="s">
        <v>272</v>
      </c>
      <c r="C32" s="14" t="s">
        <v>273</v>
      </c>
      <c r="D32" s="14" t="s">
        <v>274</v>
      </c>
      <c r="E32" s="14" t="s">
        <v>32</v>
      </c>
    </row>
    <row r="33" spans="1:5" ht="24">
      <c r="A33" s="14" t="s">
        <v>247</v>
      </c>
      <c r="B33" s="14" t="s">
        <v>269</v>
      </c>
      <c r="C33" s="14" t="s">
        <v>275</v>
      </c>
      <c r="D33" s="14" t="s">
        <v>276</v>
      </c>
      <c r="E33" s="14" t="s">
        <v>27</v>
      </c>
    </row>
    <row r="34" spans="1:5">
      <c r="A34" s="14" t="s">
        <v>247</v>
      </c>
      <c r="B34" s="14" t="s">
        <v>272</v>
      </c>
      <c r="C34" s="14" t="s">
        <v>277</v>
      </c>
      <c r="D34" s="14" t="s">
        <v>276</v>
      </c>
      <c r="E34" s="14" t="s">
        <v>27</v>
      </c>
    </row>
    <row r="35" spans="1:5">
      <c r="A35" s="14" t="s">
        <v>247</v>
      </c>
      <c r="B35" s="14" t="s">
        <v>278</v>
      </c>
      <c r="C35" s="14" t="s">
        <v>279</v>
      </c>
      <c r="D35" s="14" t="s">
        <v>276</v>
      </c>
      <c r="E35" s="14" t="s">
        <v>27</v>
      </c>
    </row>
    <row r="36" spans="1:5" ht="36">
      <c r="A36" s="14" t="s">
        <v>247</v>
      </c>
      <c r="B36" s="14" t="s">
        <v>280</v>
      </c>
      <c r="C36" s="14" t="s">
        <v>281</v>
      </c>
      <c r="D36" s="14" t="s">
        <v>280</v>
      </c>
      <c r="E36" s="14" t="s">
        <v>35</v>
      </c>
    </row>
    <row r="37" spans="1:5" ht="36">
      <c r="A37" s="14" t="s">
        <v>247</v>
      </c>
      <c r="B37" s="14" t="s">
        <v>269</v>
      </c>
      <c r="C37" s="14" t="s">
        <v>282</v>
      </c>
      <c r="D37" s="14" t="s">
        <v>283</v>
      </c>
      <c r="E37" s="14" t="s">
        <v>35</v>
      </c>
    </row>
    <row r="38" spans="1:5" ht="36">
      <c r="A38" s="14" t="s">
        <v>247</v>
      </c>
      <c r="B38" s="17" t="s">
        <v>272</v>
      </c>
      <c r="C38" s="17" t="s">
        <v>284</v>
      </c>
      <c r="D38" s="17" t="s">
        <v>285</v>
      </c>
      <c r="E38" s="14" t="s">
        <v>35</v>
      </c>
    </row>
    <row r="39" spans="1:5">
      <c r="A39" s="14" t="s">
        <v>247</v>
      </c>
      <c r="B39" s="17" t="s">
        <v>272</v>
      </c>
      <c r="C39" s="17" t="s">
        <v>286</v>
      </c>
      <c r="D39" s="17" t="s">
        <v>285</v>
      </c>
      <c r="E39" s="14" t="s">
        <v>35</v>
      </c>
    </row>
    <row r="40" spans="1:5" ht="36">
      <c r="A40" s="14" t="s">
        <v>247</v>
      </c>
      <c r="B40" s="17" t="s">
        <v>269</v>
      </c>
      <c r="C40" s="17" t="s">
        <v>287</v>
      </c>
      <c r="D40" s="17" t="s">
        <v>288</v>
      </c>
      <c r="E40" s="14" t="s">
        <v>35</v>
      </c>
    </row>
    <row r="41" spans="1:5" ht="48">
      <c r="A41" s="14" t="s">
        <v>247</v>
      </c>
      <c r="B41" s="17" t="s">
        <v>269</v>
      </c>
      <c r="C41" s="14" t="s">
        <v>289</v>
      </c>
      <c r="D41" s="14" t="s">
        <v>184</v>
      </c>
      <c r="E41" s="14" t="s">
        <v>290</v>
      </c>
    </row>
    <row r="42" spans="1:5" ht="36">
      <c r="A42" s="14" t="s">
        <v>247</v>
      </c>
      <c r="B42" s="17" t="s">
        <v>272</v>
      </c>
      <c r="C42" s="14" t="s">
        <v>291</v>
      </c>
      <c r="D42" s="14" t="s">
        <v>184</v>
      </c>
      <c r="E42" s="14" t="s">
        <v>290</v>
      </c>
    </row>
    <row r="43" spans="1:5" ht="24">
      <c r="A43" s="14" t="s">
        <v>247</v>
      </c>
      <c r="B43" s="17" t="s">
        <v>269</v>
      </c>
      <c r="C43" s="14" t="s">
        <v>292</v>
      </c>
      <c r="D43" s="14" t="s">
        <v>184</v>
      </c>
      <c r="E43" s="14" t="s">
        <v>293</v>
      </c>
    </row>
    <row r="44" spans="1:5">
      <c r="A44" s="14" t="s">
        <v>247</v>
      </c>
      <c r="B44" s="17" t="s">
        <v>294</v>
      </c>
      <c r="C44" s="14" t="s">
        <v>277</v>
      </c>
      <c r="D44" s="14" t="s">
        <v>184</v>
      </c>
      <c r="E44" s="14" t="s">
        <v>293</v>
      </c>
    </row>
    <row r="45" spans="1:5" ht="24">
      <c r="A45" s="14" t="s">
        <v>247</v>
      </c>
      <c r="B45" s="17" t="s">
        <v>269</v>
      </c>
      <c r="C45" s="14" t="s">
        <v>295</v>
      </c>
      <c r="D45" s="14" t="s">
        <v>184</v>
      </c>
      <c r="E45" s="14" t="s">
        <v>296</v>
      </c>
    </row>
    <row r="46" spans="1:5" ht="24">
      <c r="A46" s="14" t="s">
        <v>247</v>
      </c>
      <c r="B46" s="17" t="s">
        <v>272</v>
      </c>
      <c r="C46" s="14" t="s">
        <v>297</v>
      </c>
      <c r="D46" s="14" t="s">
        <v>184</v>
      </c>
      <c r="E46" s="14" t="s">
        <v>296</v>
      </c>
    </row>
    <row r="47" spans="1:5" ht="24">
      <c r="A47" s="14" t="s">
        <v>247</v>
      </c>
      <c r="B47" s="17" t="s">
        <v>269</v>
      </c>
      <c r="C47" s="14" t="s">
        <v>298</v>
      </c>
      <c r="D47" s="14" t="s">
        <v>184</v>
      </c>
      <c r="E47" s="14" t="s">
        <v>299</v>
      </c>
    </row>
    <row r="48" spans="1:5">
      <c r="A48" s="14" t="s">
        <v>247</v>
      </c>
      <c r="B48" s="17" t="s">
        <v>272</v>
      </c>
      <c r="C48" s="14" t="s">
        <v>300</v>
      </c>
      <c r="D48" s="14" t="s">
        <v>184</v>
      </c>
      <c r="E48" s="14" t="s">
        <v>299</v>
      </c>
    </row>
    <row r="49" spans="1:5" ht="24">
      <c r="A49" s="14" t="s">
        <v>247</v>
      </c>
      <c r="B49" s="17" t="s">
        <v>269</v>
      </c>
      <c r="C49" s="14" t="s">
        <v>301</v>
      </c>
      <c r="D49" s="14" t="s">
        <v>184</v>
      </c>
      <c r="E49" s="14" t="s">
        <v>302</v>
      </c>
    </row>
    <row r="50" spans="1:5" ht="24">
      <c r="A50" s="14" t="s">
        <v>247</v>
      </c>
      <c r="B50" s="17" t="s">
        <v>272</v>
      </c>
      <c r="C50" s="14" t="s">
        <v>303</v>
      </c>
      <c r="D50" s="14" t="s">
        <v>184</v>
      </c>
      <c r="E50" s="14" t="s">
        <v>302</v>
      </c>
    </row>
    <row r="51" spans="1:5" ht="24">
      <c r="A51" s="14" t="s">
        <v>247</v>
      </c>
      <c r="B51" s="17" t="s">
        <v>269</v>
      </c>
      <c r="C51" s="14" t="s">
        <v>304</v>
      </c>
      <c r="D51" s="14" t="s">
        <v>184</v>
      </c>
      <c r="E51" s="14" t="s">
        <v>305</v>
      </c>
    </row>
    <row r="52" spans="1:5">
      <c r="A52" s="14" t="s">
        <v>247</v>
      </c>
      <c r="B52" s="17" t="s">
        <v>272</v>
      </c>
      <c r="C52" s="14" t="s">
        <v>306</v>
      </c>
      <c r="D52" s="14" t="s">
        <v>184</v>
      </c>
      <c r="E52" s="14" t="s">
        <v>305</v>
      </c>
    </row>
    <row r="53" spans="1:5" ht="24">
      <c r="A53" s="14" t="s">
        <v>247</v>
      </c>
      <c r="B53" s="17" t="s">
        <v>269</v>
      </c>
      <c r="C53" s="14" t="s">
        <v>307</v>
      </c>
      <c r="D53" s="14" t="s">
        <v>184</v>
      </c>
      <c r="E53" s="14" t="s">
        <v>170</v>
      </c>
    </row>
    <row r="54" spans="1:5" ht="24">
      <c r="A54" s="14" t="s">
        <v>247</v>
      </c>
      <c r="B54" s="17" t="s">
        <v>269</v>
      </c>
      <c r="C54" s="14" t="s">
        <v>308</v>
      </c>
      <c r="D54" s="14" t="s">
        <v>184</v>
      </c>
      <c r="E54" s="14" t="s">
        <v>309</v>
      </c>
    </row>
    <row r="55" spans="1:5" ht="24">
      <c r="A55" s="14" t="s">
        <v>247</v>
      </c>
      <c r="B55" s="17" t="s">
        <v>272</v>
      </c>
      <c r="C55" s="14" t="s">
        <v>310</v>
      </c>
      <c r="D55" s="14" t="s">
        <v>184</v>
      </c>
      <c r="E55" s="14" t="s">
        <v>309</v>
      </c>
    </row>
    <row r="56" spans="1:5" ht="24">
      <c r="A56" s="14" t="s">
        <v>247</v>
      </c>
      <c r="B56" s="17" t="s">
        <v>269</v>
      </c>
      <c r="C56" s="14" t="s">
        <v>307</v>
      </c>
      <c r="D56" s="14" t="s">
        <v>184</v>
      </c>
      <c r="E56" s="14" t="s">
        <v>311</v>
      </c>
    </row>
    <row r="57" spans="1:5" ht="24">
      <c r="A57" s="14" t="s">
        <v>247</v>
      </c>
      <c r="B57" s="17" t="s">
        <v>269</v>
      </c>
      <c r="C57" s="14" t="s">
        <v>312</v>
      </c>
      <c r="D57" s="14"/>
      <c r="E57" s="14" t="s">
        <v>313</v>
      </c>
    </row>
    <row r="58" spans="1:5" ht="36">
      <c r="A58" s="14" t="s">
        <v>247</v>
      </c>
      <c r="B58" s="17" t="s">
        <v>269</v>
      </c>
      <c r="C58" s="14" t="s">
        <v>314</v>
      </c>
      <c r="D58" s="14" t="s">
        <v>184</v>
      </c>
      <c r="E58" s="14" t="s">
        <v>38</v>
      </c>
    </row>
    <row r="59" spans="1:5" ht="24">
      <c r="A59" s="14" t="s">
        <v>247</v>
      </c>
      <c r="B59" s="17" t="s">
        <v>272</v>
      </c>
      <c r="C59" s="14" t="s">
        <v>315</v>
      </c>
      <c r="D59" s="14" t="s">
        <v>184</v>
      </c>
      <c r="E59" s="14" t="s">
        <v>38</v>
      </c>
    </row>
    <row r="60" spans="1:5" ht="24">
      <c r="A60" s="14" t="s">
        <v>247</v>
      </c>
      <c r="B60" s="17" t="s">
        <v>269</v>
      </c>
      <c r="C60" s="14" t="s">
        <v>316</v>
      </c>
      <c r="D60" s="14" t="s">
        <v>184</v>
      </c>
      <c r="E60" s="14" t="s">
        <v>47</v>
      </c>
    </row>
    <row r="61" spans="1:5" ht="24">
      <c r="A61" s="14" t="s">
        <v>247</v>
      </c>
      <c r="B61" s="17" t="s">
        <v>272</v>
      </c>
      <c r="C61" s="14" t="s">
        <v>317</v>
      </c>
      <c r="D61" s="14" t="s">
        <v>184</v>
      </c>
      <c r="E61" s="14" t="s">
        <v>47</v>
      </c>
    </row>
    <row r="62" spans="1:5">
      <c r="A62" s="14" t="s">
        <v>247</v>
      </c>
      <c r="B62" s="17" t="s">
        <v>269</v>
      </c>
      <c r="C62" s="14" t="s">
        <v>318</v>
      </c>
      <c r="D62" s="14" t="s">
        <v>184</v>
      </c>
      <c r="E62" s="33" t="s">
        <v>319</v>
      </c>
    </row>
    <row r="63" spans="1:5">
      <c r="A63" s="14" t="s">
        <v>247</v>
      </c>
      <c r="B63" s="17" t="s">
        <v>272</v>
      </c>
      <c r="C63" s="14" t="s">
        <v>306</v>
      </c>
      <c r="D63" s="14" t="s">
        <v>184</v>
      </c>
      <c r="E63" s="33" t="s">
        <v>319</v>
      </c>
    </row>
  </sheetData>
  <autoFilter ref="A1:E63" xr:uid="{00000000-0009-0000-0000-000005000000}"/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891B2"/>
  </sheetPr>
  <dimension ref="A1:G14"/>
  <sheetViews>
    <sheetView zoomScaleNormal="100" workbookViewId="0">
      <pane ySplit="2" topLeftCell="A3" activePane="bottomLeft" state="frozen"/>
      <selection pane="bottomLeft" activeCell="B1" sqref="B1:B1048576"/>
    </sheetView>
  </sheetViews>
  <sheetFormatPr defaultColWidth="8.5703125" defaultRowHeight="14.45"/>
  <cols>
    <col min="1" max="1" width="49.28515625" customWidth="1"/>
    <col min="2" max="7" width="30" customWidth="1"/>
  </cols>
  <sheetData>
    <row r="1" spans="1:7" ht="42" customHeight="1">
      <c r="A1" s="9" t="s">
        <v>320</v>
      </c>
      <c r="B1" s="9" t="s">
        <v>321</v>
      </c>
      <c r="C1" s="9" t="s">
        <v>322</v>
      </c>
      <c r="D1" s="9" t="s">
        <v>323</v>
      </c>
      <c r="E1" s="9" t="s">
        <v>324</v>
      </c>
      <c r="F1" s="9" t="s">
        <v>325</v>
      </c>
      <c r="G1" s="9" t="s">
        <v>326</v>
      </c>
    </row>
    <row r="2" spans="1:7" ht="14.25" customHeight="1">
      <c r="A2" s="13" t="s">
        <v>327</v>
      </c>
      <c r="B2" s="13" t="s">
        <v>328</v>
      </c>
      <c r="C2" s="13" t="s">
        <v>328</v>
      </c>
      <c r="D2" s="13" t="s">
        <v>328</v>
      </c>
      <c r="E2" s="13" t="s">
        <v>328</v>
      </c>
      <c r="F2" s="13" t="s">
        <v>328</v>
      </c>
      <c r="G2" s="13" t="s">
        <v>328</v>
      </c>
    </row>
    <row r="3" spans="1:7" ht="35.1" customHeight="1">
      <c r="A3" s="18" t="s">
        <v>329</v>
      </c>
      <c r="B3" s="19" t="s">
        <v>330</v>
      </c>
      <c r="C3" s="20" t="s">
        <v>331</v>
      </c>
      <c r="D3" s="21" t="s">
        <v>332</v>
      </c>
      <c r="E3" s="20" t="s">
        <v>331</v>
      </c>
      <c r="F3" s="22" t="s">
        <v>333</v>
      </c>
      <c r="G3" s="20" t="s">
        <v>331</v>
      </c>
    </row>
    <row r="4" spans="1:7" ht="23.85" customHeight="1">
      <c r="A4" s="18" t="s">
        <v>88</v>
      </c>
      <c r="B4" s="22" t="s">
        <v>333</v>
      </c>
      <c r="C4" s="22" t="s">
        <v>333</v>
      </c>
      <c r="D4" s="19" t="s">
        <v>330</v>
      </c>
      <c r="E4" s="20" t="s">
        <v>331</v>
      </c>
      <c r="F4" s="22" t="s">
        <v>333</v>
      </c>
      <c r="G4" s="21" t="s">
        <v>332</v>
      </c>
    </row>
    <row r="5" spans="1:7" ht="35.1" customHeight="1">
      <c r="A5" s="18" t="s">
        <v>334</v>
      </c>
      <c r="B5" s="22" t="s">
        <v>333</v>
      </c>
      <c r="C5" s="22" t="s">
        <v>333</v>
      </c>
      <c r="D5" s="19" t="s">
        <v>330</v>
      </c>
      <c r="E5" s="20" t="s">
        <v>331</v>
      </c>
      <c r="F5" s="20" t="s">
        <v>331</v>
      </c>
      <c r="G5" s="21" t="s">
        <v>332</v>
      </c>
    </row>
    <row r="6" spans="1:7" ht="23.85" customHeight="1">
      <c r="A6" s="18" t="s">
        <v>335</v>
      </c>
      <c r="B6" s="19" t="s">
        <v>330</v>
      </c>
      <c r="C6" s="20" t="s">
        <v>331</v>
      </c>
      <c r="D6" s="20" t="s">
        <v>331</v>
      </c>
      <c r="E6" s="22" t="s">
        <v>333</v>
      </c>
      <c r="F6" s="21" t="s">
        <v>332</v>
      </c>
      <c r="G6" s="22" t="s">
        <v>333</v>
      </c>
    </row>
    <row r="7" spans="1:7" ht="35.1" customHeight="1">
      <c r="A7" s="18" t="s">
        <v>336</v>
      </c>
      <c r="B7" s="20" t="s">
        <v>331</v>
      </c>
      <c r="C7" s="19" t="s">
        <v>330</v>
      </c>
      <c r="D7" s="21" t="s">
        <v>332</v>
      </c>
      <c r="E7" s="22" t="s">
        <v>333</v>
      </c>
      <c r="F7" s="22" t="s">
        <v>333</v>
      </c>
      <c r="G7" s="20" t="s">
        <v>331</v>
      </c>
    </row>
    <row r="8" spans="1:7" ht="23.85" customHeight="1">
      <c r="A8" s="18" t="s">
        <v>337</v>
      </c>
      <c r="B8" s="22" t="s">
        <v>333</v>
      </c>
      <c r="C8" s="22" t="s">
        <v>333</v>
      </c>
      <c r="D8" s="19" t="s">
        <v>330</v>
      </c>
      <c r="E8" s="20" t="s">
        <v>331</v>
      </c>
      <c r="F8" s="22" t="s">
        <v>333</v>
      </c>
      <c r="G8" s="21" t="s">
        <v>332</v>
      </c>
    </row>
    <row r="9" spans="1:7" ht="35.1" customHeight="1">
      <c r="A9" s="18" t="s">
        <v>338</v>
      </c>
      <c r="B9" s="22" t="s">
        <v>333</v>
      </c>
      <c r="C9" s="20" t="s">
        <v>331</v>
      </c>
      <c r="D9" s="19" t="s">
        <v>330</v>
      </c>
      <c r="E9" s="21" t="s">
        <v>332</v>
      </c>
      <c r="F9" s="22" t="s">
        <v>333</v>
      </c>
      <c r="G9" s="20" t="s">
        <v>331</v>
      </c>
    </row>
    <row r="10" spans="1:7" ht="23.85" customHeight="1">
      <c r="A10" s="18" t="s">
        <v>83</v>
      </c>
      <c r="B10" s="19" t="s">
        <v>330</v>
      </c>
      <c r="C10" s="22" t="s">
        <v>333</v>
      </c>
      <c r="D10" s="21" t="s">
        <v>332</v>
      </c>
      <c r="E10" s="20" t="s">
        <v>331</v>
      </c>
      <c r="F10" s="20" t="s">
        <v>331</v>
      </c>
      <c r="G10" s="20" t="s">
        <v>331</v>
      </c>
    </row>
    <row r="11" spans="1:7" ht="35.1" customHeight="1">
      <c r="A11" s="18" t="s">
        <v>339</v>
      </c>
      <c r="B11" s="22" t="s">
        <v>333</v>
      </c>
      <c r="C11" s="19" t="s">
        <v>330</v>
      </c>
      <c r="D11" s="21" t="s">
        <v>332</v>
      </c>
      <c r="E11" s="20" t="s">
        <v>331</v>
      </c>
      <c r="F11" s="22" t="s">
        <v>333</v>
      </c>
      <c r="G11" s="20" t="s">
        <v>331</v>
      </c>
    </row>
    <row r="12" spans="1:7" ht="35.1" customHeight="1">
      <c r="A12" s="18" t="s">
        <v>340</v>
      </c>
      <c r="B12" s="19" t="s">
        <v>330</v>
      </c>
      <c r="C12" s="21" t="s">
        <v>332</v>
      </c>
      <c r="D12" s="20" t="s">
        <v>331</v>
      </c>
      <c r="E12" s="22" t="s">
        <v>333</v>
      </c>
      <c r="F12" s="22" t="s">
        <v>333</v>
      </c>
      <c r="G12" s="22" t="s">
        <v>333</v>
      </c>
    </row>
    <row r="13" spans="1:7" ht="14.25" customHeight="1">
      <c r="A13" s="17"/>
      <c r="B13" s="17"/>
      <c r="C13" s="17"/>
      <c r="D13" s="17"/>
      <c r="E13" s="17"/>
      <c r="F13" s="17"/>
      <c r="G13" s="17"/>
    </row>
    <row r="14" spans="1:7" ht="27.75" customHeight="1">
      <c r="A14" s="18" t="s">
        <v>341</v>
      </c>
      <c r="B14" s="21" t="s">
        <v>342</v>
      </c>
      <c r="C14" s="19" t="s">
        <v>343</v>
      </c>
      <c r="D14" s="20" t="s">
        <v>344</v>
      </c>
      <c r="E14" s="22" t="s">
        <v>345</v>
      </c>
      <c r="F14" s="17"/>
      <c r="G14" s="17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59669"/>
  </sheetPr>
  <dimension ref="A1:D5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4" width="15.7109375" customWidth="1"/>
  </cols>
  <sheetData>
    <row r="1" spans="1:4" ht="14.25" customHeight="1">
      <c r="A1" s="9" t="s">
        <v>346</v>
      </c>
      <c r="B1" s="9" t="s">
        <v>347</v>
      </c>
      <c r="C1" s="9" t="s">
        <v>348</v>
      </c>
      <c r="D1" s="9" t="s">
        <v>349</v>
      </c>
    </row>
    <row r="2" spans="1:4" ht="22.35" customHeight="1">
      <c r="A2" s="13" t="s">
        <v>350</v>
      </c>
      <c r="B2" s="13">
        <v>8</v>
      </c>
      <c r="C2" s="13">
        <v>9</v>
      </c>
      <c r="D2" s="23">
        <f>B2/C2</f>
        <v>0.88888888888888884</v>
      </c>
    </row>
    <row r="3" spans="1:4" ht="23.85" customHeight="1">
      <c r="A3" s="18" t="s">
        <v>351</v>
      </c>
      <c r="B3" s="14">
        <v>67</v>
      </c>
      <c r="C3" s="14">
        <v>150</v>
      </c>
      <c r="D3" s="15">
        <f>B3/C3</f>
        <v>0.44666666666666666</v>
      </c>
    </row>
    <row r="4" spans="1:4" ht="35.1" customHeight="1">
      <c r="A4" s="18" t="s">
        <v>352</v>
      </c>
      <c r="B4" s="14">
        <v>18</v>
      </c>
      <c r="C4" s="14">
        <v>35</v>
      </c>
      <c r="D4" s="15">
        <f>B4/C4</f>
        <v>0.51428571428571423</v>
      </c>
    </row>
    <row r="5" spans="1:4" ht="35.1" customHeight="1">
      <c r="A5" s="18" t="s">
        <v>353</v>
      </c>
      <c r="B5" s="14">
        <v>78</v>
      </c>
      <c r="C5" s="14">
        <v>100</v>
      </c>
      <c r="D5" s="15">
        <f>B5/C5</f>
        <v>0.78</v>
      </c>
    </row>
  </sheetData>
  <autoFilter ref="A1:D5" xr:uid="{00000000-0009-0000-0000-000007000000}"/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DC2626"/>
  </sheetPr>
  <dimension ref="A1:Q27"/>
  <sheetViews>
    <sheetView showGridLines="0" zoomScaleNormal="100" workbookViewId="0">
      <pane ySplit="2" topLeftCell="A3" activePane="bottomLeft" state="frozen"/>
      <selection pane="bottomLeft" activeCell="G17" sqref="G17"/>
    </sheetView>
  </sheetViews>
  <sheetFormatPr defaultColWidth="8.5703125" defaultRowHeight="14.45"/>
  <cols>
    <col min="1" max="1" width="41" customWidth="1"/>
    <col min="2" max="2" width="19.5703125" bestFit="1" customWidth="1"/>
    <col min="4" max="4" width="14.7109375" bestFit="1" customWidth="1"/>
    <col min="5" max="11" width="12.28515625" bestFit="1" customWidth="1"/>
    <col min="12" max="12" width="11.28515625" bestFit="1" customWidth="1"/>
  </cols>
  <sheetData>
    <row r="1" spans="1:17" ht="15" customHeight="1">
      <c r="A1" s="34" t="s">
        <v>131</v>
      </c>
      <c r="B1" s="35" t="s">
        <v>354</v>
      </c>
      <c r="C1" s="35" t="s">
        <v>68</v>
      </c>
      <c r="D1" s="35" t="s">
        <v>355</v>
      </c>
      <c r="E1" s="36">
        <v>45992</v>
      </c>
      <c r="F1" s="36">
        <v>46023</v>
      </c>
      <c r="G1" s="36">
        <v>46054</v>
      </c>
      <c r="H1" s="36">
        <v>46082</v>
      </c>
      <c r="I1" s="36">
        <v>46113</v>
      </c>
      <c r="J1" s="36">
        <v>46143</v>
      </c>
      <c r="K1" s="36">
        <v>46174</v>
      </c>
      <c r="L1" s="36">
        <v>46204</v>
      </c>
      <c r="M1" s="36">
        <v>46235</v>
      </c>
      <c r="N1" s="36">
        <v>46266</v>
      </c>
      <c r="O1" s="36">
        <v>46296</v>
      </c>
      <c r="P1" s="36">
        <v>46327</v>
      </c>
      <c r="Q1" s="36">
        <v>46357</v>
      </c>
    </row>
    <row r="2" spans="1:17" ht="14.25" customHeight="1">
      <c r="A2" s="30" t="s">
        <v>356</v>
      </c>
      <c r="B2" s="31" t="s">
        <v>357</v>
      </c>
      <c r="C2" s="31" t="s">
        <v>70</v>
      </c>
      <c r="D2" s="31" t="s">
        <v>358</v>
      </c>
      <c r="E2" s="31" t="s">
        <v>347</v>
      </c>
      <c r="F2" s="31" t="s">
        <v>347</v>
      </c>
      <c r="G2" s="31" t="s">
        <v>347</v>
      </c>
      <c r="H2" s="31" t="s">
        <v>347</v>
      </c>
      <c r="I2" s="31" t="s">
        <v>347</v>
      </c>
      <c r="J2" s="31" t="s">
        <v>347</v>
      </c>
      <c r="K2" s="31" t="s">
        <v>347</v>
      </c>
      <c r="L2" s="31" t="s">
        <v>347</v>
      </c>
      <c r="M2" s="31" t="s">
        <v>347</v>
      </c>
      <c r="N2" s="31" t="s">
        <v>347</v>
      </c>
      <c r="O2" s="31" t="s">
        <v>347</v>
      </c>
      <c r="P2" s="31" t="s">
        <v>347</v>
      </c>
      <c r="Q2" s="31" t="s">
        <v>347</v>
      </c>
    </row>
    <row r="3" spans="1:17" ht="14.25" customHeight="1">
      <c r="A3" s="37" t="s">
        <v>359</v>
      </c>
      <c r="B3" s="38" t="s">
        <v>237</v>
      </c>
      <c r="C3" s="38" t="s">
        <v>184</v>
      </c>
      <c r="D3" s="39">
        <v>50000</v>
      </c>
      <c r="E3" s="39">
        <v>19810</v>
      </c>
      <c r="F3" s="39">
        <v>19810</v>
      </c>
      <c r="G3" s="39"/>
      <c r="H3" s="39"/>
      <c r="I3" s="39"/>
      <c r="J3" s="39"/>
      <c r="K3" s="39"/>
      <c r="L3" s="39"/>
      <c r="M3" s="39"/>
      <c r="N3" s="39"/>
      <c r="O3" s="39"/>
      <c r="P3" s="39"/>
      <c r="Q3" s="39"/>
    </row>
    <row r="4" spans="1:17" ht="14.25" customHeight="1">
      <c r="A4" s="37" t="s">
        <v>360</v>
      </c>
      <c r="B4" s="38" t="s">
        <v>234</v>
      </c>
      <c r="C4" s="38" t="s">
        <v>26</v>
      </c>
      <c r="D4" s="39">
        <v>200000</v>
      </c>
      <c r="E4" s="39">
        <v>47200</v>
      </c>
      <c r="F4" s="39">
        <v>47200</v>
      </c>
      <c r="G4" s="39">
        <v>47200</v>
      </c>
      <c r="H4" s="39">
        <v>47200</v>
      </c>
      <c r="I4" s="39"/>
      <c r="J4" s="39"/>
      <c r="K4" s="39"/>
      <c r="L4" s="39"/>
      <c r="M4" s="39"/>
      <c r="N4" s="39"/>
      <c r="O4" s="39"/>
      <c r="P4" s="39"/>
      <c r="Q4" s="39"/>
    </row>
    <row r="5" spans="1:17" ht="14.25" customHeight="1">
      <c r="A5" s="37" t="s">
        <v>361</v>
      </c>
      <c r="B5" s="38" t="s">
        <v>237</v>
      </c>
      <c r="C5" s="38"/>
      <c r="D5" s="39">
        <v>0</v>
      </c>
      <c r="E5" s="39">
        <v>1440</v>
      </c>
      <c r="F5" s="39"/>
      <c r="G5" s="39"/>
      <c r="H5" s="39"/>
      <c r="I5" s="39"/>
      <c r="J5" s="39"/>
      <c r="K5" s="39"/>
      <c r="L5" s="39"/>
      <c r="M5" s="39"/>
      <c r="N5" s="39"/>
      <c r="O5" s="39"/>
      <c r="P5" s="39"/>
      <c r="Q5" s="39"/>
    </row>
    <row r="6" spans="1:17" ht="14.25" customHeight="1">
      <c r="A6" s="37" t="s">
        <v>361</v>
      </c>
      <c r="B6" s="38" t="s">
        <v>237</v>
      </c>
      <c r="C6" s="38" t="s">
        <v>31</v>
      </c>
      <c r="D6" s="39">
        <v>0</v>
      </c>
      <c r="E6" s="39"/>
      <c r="F6" s="39"/>
      <c r="G6" s="39"/>
      <c r="H6" s="39"/>
      <c r="I6" s="39"/>
      <c r="J6" s="39"/>
      <c r="K6" s="39"/>
      <c r="L6" s="39"/>
      <c r="M6" s="39"/>
      <c r="N6" s="39"/>
      <c r="O6" s="39"/>
      <c r="P6" s="39"/>
      <c r="Q6" s="39"/>
    </row>
    <row r="7" spans="1:17" ht="14.25" customHeight="1">
      <c r="A7" s="37" t="s">
        <v>170</v>
      </c>
      <c r="B7" s="38" t="s">
        <v>362</v>
      </c>
      <c r="C7" s="38" t="s">
        <v>37</v>
      </c>
      <c r="D7" s="39">
        <v>0</v>
      </c>
      <c r="E7" s="39">
        <v>3600</v>
      </c>
      <c r="F7" s="39"/>
      <c r="G7" s="39"/>
      <c r="H7" s="39"/>
      <c r="I7" s="39"/>
      <c r="J7" s="39"/>
      <c r="K7" s="39"/>
      <c r="L7" s="39"/>
      <c r="M7" s="39"/>
      <c r="N7" s="39"/>
      <c r="O7" s="39"/>
      <c r="P7" s="39"/>
      <c r="Q7" s="39"/>
    </row>
    <row r="8" spans="1:17" ht="15" customHeight="1">
      <c r="A8" s="37" t="s">
        <v>363</v>
      </c>
      <c r="B8" s="38" t="s">
        <v>364</v>
      </c>
      <c r="C8" s="38" t="s">
        <v>184</v>
      </c>
      <c r="D8" s="39">
        <v>0</v>
      </c>
      <c r="E8" s="39"/>
      <c r="F8" s="39"/>
      <c r="G8" s="39"/>
      <c r="H8" s="39"/>
      <c r="I8" s="39"/>
      <c r="J8" s="39"/>
      <c r="K8" s="39"/>
      <c r="L8" s="39"/>
      <c r="M8" s="39"/>
      <c r="N8" s="39"/>
      <c r="O8" s="39"/>
      <c r="P8" s="39"/>
      <c r="Q8" s="39"/>
    </row>
    <row r="9" spans="1:17" ht="15" customHeight="1">
      <c r="A9" s="37" t="s">
        <v>365</v>
      </c>
      <c r="B9" s="38" t="s">
        <v>184</v>
      </c>
      <c r="C9" s="38" t="s">
        <v>184</v>
      </c>
      <c r="D9" s="39">
        <v>0</v>
      </c>
      <c r="E9" s="39"/>
      <c r="F9" s="39"/>
      <c r="G9" s="39"/>
      <c r="H9" s="39"/>
      <c r="I9" s="39"/>
      <c r="J9" s="39"/>
      <c r="K9" s="39"/>
      <c r="L9" s="39"/>
      <c r="M9" s="39"/>
      <c r="N9" s="39"/>
      <c r="O9" s="39"/>
      <c r="P9" s="39"/>
      <c r="Q9" s="39"/>
    </row>
    <row r="10" spans="1:17" ht="27.75" customHeight="1">
      <c r="A10" s="37" t="s">
        <v>170</v>
      </c>
      <c r="B10" s="38" t="s">
        <v>362</v>
      </c>
      <c r="C10" s="38" t="s">
        <v>37</v>
      </c>
      <c r="D10" s="39">
        <v>0</v>
      </c>
      <c r="E10" s="39">
        <v>5260</v>
      </c>
      <c r="F10" s="39">
        <v>5260</v>
      </c>
      <c r="G10" s="39">
        <v>5740</v>
      </c>
      <c r="H10" s="39"/>
      <c r="I10" s="39"/>
      <c r="J10" s="39"/>
      <c r="K10" s="39"/>
      <c r="L10" s="39"/>
      <c r="M10" s="39"/>
      <c r="N10" s="39"/>
      <c r="O10" s="39"/>
      <c r="P10" s="39"/>
      <c r="Q10" s="39"/>
    </row>
    <row r="11" spans="1:17" ht="14.25" customHeight="1"/>
    <row r="12" spans="1:17" ht="14.25" customHeight="1"/>
    <row r="13" spans="1:17" ht="14.25" customHeight="1"/>
    <row r="14" spans="1:17" ht="14.25" customHeight="1"/>
    <row r="15" spans="1:17" ht="14.25" customHeight="1"/>
    <row r="16" spans="1:17" ht="14.25" customHeight="1"/>
    <row r="17" ht="14.25" customHeight="1"/>
    <row r="18" ht="1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5"/>
  </sheetData>
  <pageMargins left="0.75" right="0.75" top="1" bottom="1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5b7c34c-a120-4ac3-ab60-c6bebc005a32">
      <Terms xmlns="http://schemas.microsoft.com/office/infopath/2007/PartnerControls"/>
    </lcf76f155ced4ddcb4097134ff3c332f>
    <TaxCatchAll xmlns="2aea894b-94ad-406a-ad4e-500caf6a56d3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CE54C9533A3014183E6B22E76F8A7A8" ma:contentTypeVersion="11" ma:contentTypeDescription="Crie um novo documento." ma:contentTypeScope="" ma:versionID="62704d92a99242f62405766f37cfe174">
  <xsd:schema xmlns:xsd="http://www.w3.org/2001/XMLSchema" xmlns:xs="http://www.w3.org/2001/XMLSchema" xmlns:p="http://schemas.microsoft.com/office/2006/metadata/properties" xmlns:ns2="25b7c34c-a120-4ac3-ab60-c6bebc005a32" xmlns:ns3="2aea894b-94ad-406a-ad4e-500caf6a56d3" targetNamespace="http://schemas.microsoft.com/office/2006/metadata/properties" ma:root="true" ma:fieldsID="e1ec24d789b63e7aafd81facc8b57960" ns2:_="" ns3:_="">
    <xsd:import namespace="25b7c34c-a120-4ac3-ab60-c6bebc005a32"/>
    <xsd:import namespace="2aea894b-94ad-406a-ad4e-500caf6a56d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b7c34c-a120-4ac3-ab60-c6bebc005a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6c68e19d-2fdb-46f5-b58a-9774e3dd74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a894b-94ad-406a-ad4e-500caf6a56d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9e1f6583-cbcb-4f02-88fa-5f1dc27a8b5d}" ma:internalName="TaxCatchAll" ma:showField="CatchAllData" ma:web="2aea894b-94ad-406a-ad4e-500caf6a56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07A6E785-FFA4-4B45-919B-A658CFA9E29F}"/>
</file>

<file path=customXml/itemProps2.xml><?xml version="1.0" encoding="utf-8"?>
<ds:datastoreItem xmlns:ds="http://schemas.openxmlformats.org/officeDocument/2006/customXml" ds:itemID="{72933794-25D3-402C-B4CD-5B50CEB19884}"/>
</file>

<file path=customXml/itemProps3.xml><?xml version="1.0" encoding="utf-8"?>
<ds:datastoreItem xmlns:ds="http://schemas.openxmlformats.org/officeDocument/2006/customXml" ds:itemID="{B2FB2B9C-EC1C-4F74-BCCE-02A1463034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Fernando Hideo Fujii</cp:lastModifiedBy>
  <cp:revision>0</cp:revision>
  <dcterms:created xsi:type="dcterms:W3CDTF">2026-02-10T13:29:11Z</dcterms:created>
  <dcterms:modified xsi:type="dcterms:W3CDTF">2026-02-20T19:15:43Z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0x0101007CE54C9533A3014183E6B22E76F8A7A8</vt:lpwstr>
  </property>
  <property fmtid="{D5CDD505-2E9C-101B-9397-08002B2CF9AE}" pid="3" name="MediaServiceImageTags">
    <vt:lpwstr/>
  </property>
</Properties>
</file>