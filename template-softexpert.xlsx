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planoeplano.sharepoint.com/sites/Softexpert/Documentos Compartilhados/Status Report - Executivo/"/>
    </mc:Choice>
  </mc:AlternateContent>
  <xr:revisionPtr revIDLastSave="1996" documentId="11_C24A341F8ED520438A3C56126D326013BF438F93" xr6:coauthVersionLast="47" xr6:coauthVersionMax="47" xr10:uidLastSave="{0D07A907-3234-4FF4-AACF-4DEF83992DC1}"/>
  <bookViews>
    <workbookView xWindow="-110" yWindow="-110" windowWidth="19420" windowHeight="11500" tabRatio="500" firstSheet="8" activeTab="8" xr2:uid="{00000000-000D-0000-FFFF-FFFF00000000}"/>
  </bookViews>
  <sheets>
    <sheet name="Programa" sheetId="1" r:id="rId1"/>
    <sheet name="Projetos" sheetId="2" r:id="rId2"/>
    <sheet name="Etapas" sheetId="3" r:id="rId3"/>
    <sheet name="Módulos" sheetId="4" state="hidden" r:id="rId4"/>
    <sheet name="Riscos, Decisões e Conquistas" sheetId="5" r:id="rId5"/>
    <sheet name="Organograma" sheetId="6" r:id="rId6"/>
    <sheet name="RACI" sheetId="7" r:id="rId7"/>
    <sheet name="Capacitação" sheetId="8" r:id="rId8"/>
    <sheet name="Budget" sheetId="9" r:id="rId9"/>
    <sheet name="Historico" sheetId="10" r:id="rId10"/>
  </sheets>
  <definedNames>
    <definedName name="_xlnm._FilterDatabase" localSheetId="8" hidden="1">Budget!#REF!</definedName>
    <definedName name="_xlnm._FilterDatabase" localSheetId="7" hidden="1">Capacitação!$A$1:$D$5</definedName>
    <definedName name="_xlnm._FilterDatabase" localSheetId="2" hidden="1">Etapas!$A$1:$F$54</definedName>
    <definedName name="_xlnm._FilterDatabase" localSheetId="3" hidden="1">Módulos!$A$1:$H$11</definedName>
    <definedName name="_xlnm._FilterDatabase" localSheetId="5" hidden="1">Organograma!$A$1:$H$17</definedName>
    <definedName name="_xlnm._FilterDatabase" localSheetId="1" hidden="1">Projetos!$A$1:$K$9</definedName>
    <definedName name="_xlnm._FilterDatabase" localSheetId="4" hidden="1">'Riscos, Decisões e Conquistas'!$A$1:$K$7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9" l="1"/>
  <c r="B17" i="9" s="1"/>
  <c r="B15" i="9"/>
  <c r="B4" i="1"/>
  <c r="D5" i="8"/>
  <c r="D4" i="8"/>
  <c r="D3" i="8"/>
  <c r="D2" i="8"/>
</calcChain>
</file>

<file path=xl/sharedStrings.xml><?xml version="1.0" encoding="utf-8"?>
<sst xmlns="http://schemas.openxmlformats.org/spreadsheetml/2006/main" count="1695" uniqueCount="484">
  <si>
    <t>Campo</t>
  </si>
  <si>
    <t>Valor</t>
  </si>
  <si>
    <t>Nome do Programa</t>
  </si>
  <si>
    <t>Implantação SoftExpert</t>
  </si>
  <si>
    <t>Subtítulo</t>
  </si>
  <si>
    <t>Status Report Executivo</t>
  </si>
  <si>
    <t>Data de Atualização</t>
  </si>
  <si>
    <t>ID</t>
  </si>
  <si>
    <t>Projeto</t>
  </si>
  <si>
    <t>Área</t>
  </si>
  <si>
    <t>Responsável</t>
  </si>
  <si>
    <t>Status</t>
  </si>
  <si>
    <t>Fase Atual</t>
  </si>
  <si>
    <t>% Avanço</t>
  </si>
  <si>
    <t>Início Planejado</t>
  </si>
  <si>
    <t>Início Real</t>
  </si>
  <si>
    <t>Fim Planejado</t>
  </si>
  <si>
    <t>Fim Real</t>
  </si>
  <si>
    <t>Auto</t>
  </si>
  <si>
    <t>Nome do projeto</t>
  </si>
  <si>
    <t>Área impactada</t>
  </si>
  <si>
    <t>Nome do GP</t>
  </si>
  <si>
    <t>No Prazo / Atenção / Crítico / Concluído / Não Iniciado</t>
  </si>
  <si>
    <t>Discovery / Config. / Homol. / Go-Live / Estab.</t>
  </si>
  <si>
    <t>0-100</t>
  </si>
  <si>
    <t>DD/MM/AAAA</t>
  </si>
  <si>
    <t>P01</t>
  </si>
  <si>
    <t>Core Business</t>
  </si>
  <si>
    <t>Incorporação; Novos Negócios</t>
  </si>
  <si>
    <t>Lucas Fernandes</t>
  </si>
  <si>
    <t>No prazo</t>
  </si>
  <si>
    <t>Discovery/Config.</t>
  </si>
  <si>
    <t>P03</t>
  </si>
  <si>
    <t>Gestão de Contratos</t>
  </si>
  <si>
    <t>Jurídico</t>
  </si>
  <si>
    <t>Fernando Fujii</t>
  </si>
  <si>
    <t>Config.</t>
  </si>
  <si>
    <t>P04</t>
  </si>
  <si>
    <t>GRC</t>
  </si>
  <si>
    <t>Riscos E Controles Internos</t>
  </si>
  <si>
    <t>Discovery</t>
  </si>
  <si>
    <t>P05</t>
  </si>
  <si>
    <t>Auditoria Interna</t>
  </si>
  <si>
    <t>Auditoria</t>
  </si>
  <si>
    <t>No Prazo</t>
  </si>
  <si>
    <t>P06</t>
  </si>
  <si>
    <t>Captação</t>
  </si>
  <si>
    <t>Captação de Recursos</t>
  </si>
  <si>
    <t>Não Iniciado</t>
  </si>
  <si>
    <t>Backlog</t>
  </si>
  <si>
    <t>P07</t>
  </si>
  <si>
    <t>Portal de Fornecedores</t>
  </si>
  <si>
    <t>Engenharia</t>
  </si>
  <si>
    <t>P08</t>
  </si>
  <si>
    <t>Engenharia Pré Obra</t>
  </si>
  <si>
    <t>P09</t>
  </si>
  <si>
    <t>TI/ITSM/GMUD</t>
  </si>
  <si>
    <t>TI</t>
  </si>
  <si>
    <t>P10</t>
  </si>
  <si>
    <t>Qualidade</t>
  </si>
  <si>
    <t>P11</t>
  </si>
  <si>
    <t>Contratação</t>
  </si>
  <si>
    <t>P12</t>
  </si>
  <si>
    <t>Contas a Receber</t>
  </si>
  <si>
    <t>Financeiro</t>
  </si>
  <si>
    <t>P13</t>
  </si>
  <si>
    <t>Engenharia - Entrega</t>
  </si>
  <si>
    <t>P14</t>
  </si>
  <si>
    <t>Engenharia - Execução</t>
  </si>
  <si>
    <t>P15</t>
  </si>
  <si>
    <t>Engenharia - Legalização</t>
  </si>
  <si>
    <t>P16</t>
  </si>
  <si>
    <t>Kanban - Qualidade</t>
  </si>
  <si>
    <t>Lucas Godoy Fernandes</t>
  </si>
  <si>
    <t>Concluído</t>
  </si>
  <si>
    <t>Go-Live</t>
  </si>
  <si>
    <t>ID Projeto</t>
  </si>
  <si>
    <t>Etapa</t>
  </si>
  <si>
    <t>Ref. aba Projetos</t>
  </si>
  <si>
    <t>Auto (PROCV)</t>
  </si>
  <si>
    <t>Nome da etapa</t>
  </si>
  <si>
    <t>Concluído / Em andamento / Atenção / Não Iniciado</t>
  </si>
  <si>
    <t>Core (Incorporação + Novos  Negócios</t>
  </si>
  <si>
    <t>Sprint 1 (Jornada 1 - Aquisição Terrenos)</t>
  </si>
  <si>
    <t>06/01/2026</t>
  </si>
  <si>
    <t>23/03/2026</t>
  </si>
  <si>
    <t>em andamento</t>
  </si>
  <si>
    <t>Discovery - Sprint 1 (Jornada 1 - Aquisição Terrenos)</t>
  </si>
  <si>
    <t>06/02/2026</t>
  </si>
  <si>
    <t>concluído</t>
  </si>
  <si>
    <t>Parametrização da Aplicação</t>
  </si>
  <si>
    <t>02/02/2026</t>
  </si>
  <si>
    <t>Sprint 2 (GT - Grupo Técnico)</t>
  </si>
  <si>
    <t>27/04/2026</t>
  </si>
  <si>
    <t>Discovery - Sprint 2 (GT - Grupo Técnico)</t>
  </si>
  <si>
    <t>06/03/2026</t>
  </si>
  <si>
    <t>16/03/2026</t>
  </si>
  <si>
    <t>Não iniciado</t>
  </si>
  <si>
    <t>Sprint 3 (Jornada 2 - Incorporação (Desenvolvimento do Produto)</t>
  </si>
  <si>
    <t>09/02/2026</t>
  </si>
  <si>
    <t>01/06/2026</t>
  </si>
  <si>
    <t>Discovery - Sprint 3 (Jornada 2 - Incorporação (Desenvolvimento do Produto)</t>
  </si>
  <si>
    <t>20/04/2026</t>
  </si>
  <si>
    <t>Capacitação</t>
  </si>
  <si>
    <t>08/06/2026</t>
  </si>
  <si>
    <t>01/07/2026</t>
  </si>
  <si>
    <t>Validação Final (key users e TI)</t>
  </si>
  <si>
    <t>03/07/2026</t>
  </si>
  <si>
    <t>09/07/2026</t>
  </si>
  <si>
    <t>Go-live</t>
  </si>
  <si>
    <t>08/07/2026</t>
  </si>
  <si>
    <t>24/07/2026</t>
  </si>
  <si>
    <t>Encerramento do Projeto</t>
  </si>
  <si>
    <t>23/07/2026</t>
  </si>
  <si>
    <t>Discovery GRC</t>
  </si>
  <si>
    <t>13/02/2026</t>
  </si>
  <si>
    <t>31/03/2026</t>
  </si>
  <si>
    <t/>
  </si>
  <si>
    <t>01/04/2026</t>
  </si>
  <si>
    <t>22/05/2026</t>
  </si>
  <si>
    <t>25/05/2026</t>
  </si>
  <si>
    <t>29/05/2026</t>
  </si>
  <si>
    <t>Rollout</t>
  </si>
  <si>
    <t>05/06/2026</t>
  </si>
  <si>
    <t>12/06/2026</t>
  </si>
  <si>
    <t>Discovery Auditoria</t>
  </si>
  <si>
    <t>05/05/2026</t>
  </si>
  <si>
    <t>10/07/2026</t>
  </si>
  <si>
    <t>13/07/2026</t>
  </si>
  <si>
    <t>15/07/2026</t>
  </si>
  <si>
    <t>Validação final key users e TI</t>
  </si>
  <si>
    <t>22/07/2026</t>
  </si>
  <si>
    <t>29/07/2026</t>
  </si>
  <si>
    <t>Discovery Captação</t>
  </si>
  <si>
    <t>23/04/2026</t>
  </si>
  <si>
    <t>10/06/2026</t>
  </si>
  <si>
    <t>15/06/2026</t>
  </si>
  <si>
    <t>16/06/2026</t>
  </si>
  <si>
    <t>Validação Final (key users e TI) / Concluir cadastros</t>
  </si>
  <si>
    <t>17/06/2026</t>
  </si>
  <si>
    <t>22/06/2026</t>
  </si>
  <si>
    <t>23/06/2026</t>
  </si>
  <si>
    <t>25/06/2026</t>
  </si>
  <si>
    <t>Discovery Portal do Fornecedor</t>
  </si>
  <si>
    <t>13/04/2026</t>
  </si>
  <si>
    <t>12/05/2026</t>
  </si>
  <si>
    <t>13/05/2026</t>
  </si>
  <si>
    <t>26/06/2026</t>
  </si>
  <si>
    <t>29/06/2026</t>
  </si>
  <si>
    <t>Discovery Engenharia Pré Obra</t>
  </si>
  <si>
    <t>03/03/2026</t>
  </si>
  <si>
    <t>30/03/2026</t>
  </si>
  <si>
    <t>04/05/2026</t>
  </si>
  <si>
    <t>06/05/2026</t>
  </si>
  <si>
    <t>20/05/2026</t>
  </si>
  <si>
    <t>ITSM</t>
  </si>
  <si>
    <t>Parametrização da aplicação</t>
  </si>
  <si>
    <t>Capacitação Operacional</t>
  </si>
  <si>
    <t>Validação final</t>
  </si>
  <si>
    <t>Go-Live e Suporte Go-Live</t>
  </si>
  <si>
    <t>Discovery Qualidade</t>
  </si>
  <si>
    <t>30/07/2026</t>
  </si>
  <si>
    <t>03/08/2026</t>
  </si>
  <si>
    <t>04/08/2026</t>
  </si>
  <si>
    <t>10/08/2026</t>
  </si>
  <si>
    <t>17/08/2026</t>
  </si>
  <si>
    <t>Discovery Contratação</t>
  </si>
  <si>
    <t>06/07/2026</t>
  </si>
  <si>
    <t>20/08/2026</t>
  </si>
  <si>
    <t>21/08/2026</t>
  </si>
  <si>
    <t>24/08/2026</t>
  </si>
  <si>
    <t>25/08/2026</t>
  </si>
  <si>
    <t>31/08/2026</t>
  </si>
  <si>
    <t>03/09/2026</t>
  </si>
  <si>
    <t>20/03/2026</t>
  </si>
  <si>
    <t>07/05/2026</t>
  </si>
  <si>
    <t>18/05/2026</t>
  </si>
  <si>
    <t>19/05/2026</t>
  </si>
  <si>
    <t>Discovery Engenharia Entrega</t>
  </si>
  <si>
    <t>27/07/2026</t>
  </si>
  <si>
    <t>31/07/2026</t>
  </si>
  <si>
    <t>07/08/2026</t>
  </si>
  <si>
    <t>Discovery Engenharia Execução Obra</t>
  </si>
  <si>
    <t>21/09/2026</t>
  </si>
  <si>
    <t>23/10/2026</t>
  </si>
  <si>
    <t>26/10/2026</t>
  </si>
  <si>
    <t>30/11/2026</t>
  </si>
  <si>
    <t>10/12/2026</t>
  </si>
  <si>
    <t>11/12/2026</t>
  </si>
  <si>
    <t>17/12/2026</t>
  </si>
  <si>
    <t>18/12/2026</t>
  </si>
  <si>
    <t>23/12/2026</t>
  </si>
  <si>
    <t>Discovery Engenharia Legalização</t>
  </si>
  <si>
    <t>17/09/2026</t>
  </si>
  <si>
    <t>01/10/2026</t>
  </si>
  <si>
    <t>05/10/2026</t>
  </si>
  <si>
    <t>06/10/2026</t>
  </si>
  <si>
    <t>09/10/2026</t>
  </si>
  <si>
    <t>Levantamento de requisitos</t>
  </si>
  <si>
    <t>Configuração dos módulos</t>
  </si>
  <si>
    <t>Homologação e testes</t>
  </si>
  <si>
    <t>Treinamento de usuários</t>
  </si>
  <si>
    <t>Go-Live e estabilização</t>
  </si>
  <si>
    <t>Módulo</t>
  </si>
  <si>
    <t>Status Geral</t>
  </si>
  <si>
    <t>Homologação</t>
  </si>
  <si>
    <t>Responsável Técnico</t>
  </si>
  <si>
    <t>Ref.</t>
  </si>
  <si>
    <t>Nome do módulo</t>
  </si>
  <si>
    <t>Go-Live / Homologação / Config. / Discovery / Backlog / Não Iniciado</t>
  </si>
  <si>
    <t>Concluído / Em andamento / Pendente</t>
  </si>
  <si>
    <t>Nome</t>
  </si>
  <si>
    <t>Kanban</t>
  </si>
  <si>
    <t>Lucas Norato</t>
  </si>
  <si>
    <t>Em andamento</t>
  </si>
  <si>
    <t>Pendente</t>
  </si>
  <si>
    <t>Ana Martins</t>
  </si>
  <si>
    <t>P02</t>
  </si>
  <si>
    <t>Carlos Silva</t>
  </si>
  <si>
    <t>Fernanda Rocha</t>
  </si>
  <si>
    <t>Roberto Almeida</t>
  </si>
  <si>
    <t>Patrícia Lima</t>
  </si>
  <si>
    <t>Tipo</t>
  </si>
  <si>
    <t>Descrição</t>
  </si>
  <si>
    <t>Projeto Relacionado</t>
  </si>
  <si>
    <t>Severidade</t>
  </si>
  <si>
    <t>Impacto</t>
  </si>
  <si>
    <t>Categoria</t>
  </si>
  <si>
    <t>Ação de Mitigação</t>
  </si>
  <si>
    <t>Data Abertura</t>
  </si>
  <si>
    <t>Previsão Conclusão</t>
  </si>
  <si>
    <t>Risco / Impedimento / Decisão / Conquista</t>
  </si>
  <si>
    <t>Descrição detalhada</t>
  </si>
  <si>
    <t>Alto / Médio / Baixo</t>
  </si>
  <si>
    <t>Alto / Médio / Baixo / Crítico</t>
  </si>
  <si>
    <t>Cronograma / Escopo / Adoção / Custo</t>
  </si>
  <si>
    <t>Plano de ação</t>
  </si>
  <si>
    <t>Aberto / Mitigando / Bloqueado / Em tratamento / Pendente / Concluído</t>
  </si>
  <si>
    <t>C01</t>
  </si>
  <si>
    <t>Conquista</t>
  </si>
  <si>
    <t>Kanban Qualidade - Permite que a área possa realizar a gestão das atividades da equipe</t>
  </si>
  <si>
    <t> Kanban - Qualidade</t>
  </si>
  <si>
    <t> </t>
  </si>
  <si>
    <t>16/02/2026</t>
  </si>
  <si>
    <t>C02</t>
  </si>
  <si>
    <t>Implementação de SSO – Acesso à plataforma com um único login, sem necessidade de novas senhas, aumentando a segurança das informações, o controle de acessos e facilitando o uso para os usuários</t>
  </si>
  <si>
    <t>30/01/2026</t>
  </si>
  <si>
    <t>Nível</t>
  </si>
  <si>
    <t>Papel</t>
  </si>
  <si>
    <t xml:space="preserve"> </t>
  </si>
  <si>
    <t>Empresa</t>
  </si>
  <si>
    <t>e-mail</t>
  </si>
  <si>
    <t>Sponsor / Comitê Exec. / Gestão / Líder Arq. / Decisor Go-NoGo / Time Projeto</t>
  </si>
  <si>
    <t>Papel no programa</t>
  </si>
  <si>
    <t>Nome completo</t>
  </si>
  <si>
    <t>Cargo na empresa</t>
  </si>
  <si>
    <t>Área de negócio</t>
  </si>
  <si>
    <t>Nome da empresa</t>
  </si>
  <si>
    <t>ID do projeto (P01, P02...) ou Todos</t>
  </si>
  <si>
    <t>Sponsor</t>
  </si>
  <si>
    <t>Sponsor Executivo</t>
  </si>
  <si>
    <t>Rodrigo Fairbanks von Uhlendorff</t>
  </si>
  <si>
    <t>Presidente</t>
  </si>
  <si>
    <t>Presidência</t>
  </si>
  <si>
    <t>Plano&amp;Plano</t>
  </si>
  <si>
    <t>Todos</t>
  </si>
  <si>
    <t>Comitê Executivo</t>
  </si>
  <si>
    <t>Membro do Comitê</t>
  </si>
  <si>
    <t>Henrique Garcia</t>
  </si>
  <si>
    <t>Diretor Jurídico</t>
  </si>
  <si>
    <t xml:space="preserve">henrique.garcia@planoeplano.com.br </t>
  </si>
  <si>
    <t>Leonardo Araujo</t>
  </si>
  <si>
    <t>Diretor De Operacoes Financeiras e TI</t>
  </si>
  <si>
    <t>Operacoes Financeiras e TI</t>
  </si>
  <si>
    <t xml:space="preserve">leonardo.araujo@planoeplano.com.br </t>
  </si>
  <si>
    <t>Marco Cardoso</t>
  </si>
  <si>
    <t>Superintendente de TI</t>
  </si>
  <si>
    <t>Tecnologia da Informação</t>
  </si>
  <si>
    <t>marco.cardoso@planoeplano.com.br</t>
  </si>
  <si>
    <t>Renee Silveira</t>
  </si>
  <si>
    <t>Diretora De Incorporação</t>
  </si>
  <si>
    <t>Incorporação</t>
  </si>
  <si>
    <t>leonardo.araujo@planoeplano.com.br</t>
  </si>
  <si>
    <t>Gestão do Programa</t>
  </si>
  <si>
    <t>Gerente de Projetos</t>
  </si>
  <si>
    <t>Fabio Jonas</t>
  </si>
  <si>
    <t>Gerente De Riscos E Controles Internos</t>
  </si>
  <si>
    <t>fabio.silva@planoeplano.com.br</t>
  </si>
  <si>
    <t>fernando.fujii@planoeplano.com.br</t>
  </si>
  <si>
    <t>Gerente de Programa</t>
  </si>
  <si>
    <t>Coordenador de Sistemas</t>
  </si>
  <si>
    <t>lucas.fernandes@planoeplano.com.br</t>
  </si>
  <si>
    <t>Claudio Ferreira</t>
  </si>
  <si>
    <t xml:space="preserve"> Gerente de Projetos</t>
  </si>
  <si>
    <t>DBD</t>
  </si>
  <si>
    <t>claudio@d-bd.co</t>
  </si>
  <si>
    <t>Gustavo Munhoz</t>
  </si>
  <si>
    <t>SoftExpert</t>
  </si>
  <si>
    <t>gmunhoz@softexpert.com</t>
  </si>
  <si>
    <t>Líder Arquitetura/Infra</t>
  </si>
  <si>
    <t>Líder de Arquitetura</t>
  </si>
  <si>
    <t>Marco Quezada</t>
  </si>
  <si>
    <t>marco.quezada@planoeplano.com.br</t>
  </si>
  <si>
    <t>Gerente de Infraestrutura</t>
  </si>
  <si>
    <t>Rodrigo Bernardo</t>
  </si>
  <si>
    <t>rodrigo.bernardo@planoeplano.com.br</t>
  </si>
  <si>
    <t>Decisor Go-NoGo</t>
  </si>
  <si>
    <t>Gerente de Sistemas</t>
  </si>
  <si>
    <t>luiz.novaes@planoeplano.com.br</t>
  </si>
  <si>
    <t>Líderes de Negócios</t>
  </si>
  <si>
    <t>Time Projeto</t>
  </si>
  <si>
    <t>Líder de Negócios</t>
  </si>
  <si>
    <t>Mayara Santos</t>
  </si>
  <si>
    <t>Coordenadora De Novos Negocios</t>
  </si>
  <si>
    <t>Novos Negócios</t>
  </si>
  <si>
    <t>mayara.santos@planoeplano.com.br</t>
  </si>
  <si>
    <t>Usuário Chave</t>
  </si>
  <si>
    <t>Laura Ribeiro</t>
  </si>
  <si>
    <t>Assistente de Novos Negócios</t>
  </si>
  <si>
    <t xml:space="preserve">laura.ribeiro@planoeplano.com.br
</t>
  </si>
  <si>
    <t>Gina Giuseppe</t>
  </si>
  <si>
    <t>Coordenadora De Incorporacao</t>
  </si>
  <si>
    <t>gina.giuseppe@planoeplano.com.br</t>
  </si>
  <si>
    <t>Luciana Vieira</t>
  </si>
  <si>
    <t>Superintendente de Incorporação</t>
  </si>
  <si>
    <t>luciana.vieira@planoeplano.com.br</t>
  </si>
  <si>
    <t>Adriana Bittencourt</t>
  </si>
  <si>
    <t>Gerente de Incorporacao</t>
  </si>
  <si>
    <t>adriana.bittencourt@planoeplano.com.br</t>
  </si>
  <si>
    <t xml:space="preserve">Consultor </t>
  </si>
  <si>
    <t>Donato de Avila</t>
  </si>
  <si>
    <t>donato.avila@planoeplano.com.br</t>
  </si>
  <si>
    <t xml:space="preserve">Analista de Sistemas </t>
  </si>
  <si>
    <t>Luciano Rafael</t>
  </si>
  <si>
    <t>luciano.rafael@planoeplano.com.br</t>
  </si>
  <si>
    <t xml:space="preserve"> Consultor</t>
  </si>
  <si>
    <t>Andreza Benatti</t>
  </si>
  <si>
    <t>andreza@d-bd.co</t>
  </si>
  <si>
    <t xml:space="preserve"> Líder do Projeto</t>
  </si>
  <si>
    <t>Marcelo Ferreira</t>
  </si>
  <si>
    <t>Consultor</t>
  </si>
  <si>
    <t>marcelof@d-bd.co</t>
  </si>
  <si>
    <t>Fabiana Passos</t>
  </si>
  <si>
    <t>Inteligência de Mercado</t>
  </si>
  <si>
    <t>fabiana.passos@planoeplano.com.br</t>
  </si>
  <si>
    <t>Sagar Prakasan</t>
  </si>
  <si>
    <t>sagar.prakasan@planoeplano.com.br</t>
  </si>
  <si>
    <t>Maria Silva</t>
  </si>
  <si>
    <t>Lider Processo</t>
  </si>
  <si>
    <t>maria.silva@planoeplano.com.br</t>
  </si>
  <si>
    <t>Lider de Negocios</t>
  </si>
  <si>
    <t>Juan Sosa</t>
  </si>
  <si>
    <t>Planejamento e Custos</t>
  </si>
  <si>
    <t>juan.sosa@planoeplano.com.br</t>
  </si>
  <si>
    <t>Lider de Processo</t>
  </si>
  <si>
    <t>Silvia Reis</t>
  </si>
  <si>
    <t>Lider de Processos</t>
  </si>
  <si>
    <t>silvia.reis@planoeplano.com.br</t>
  </si>
  <si>
    <t>Adriana Brasca Raposo</t>
  </si>
  <si>
    <t>Viabilidade Economica</t>
  </si>
  <si>
    <t>adriana.raposo@planoeplano.com.br</t>
  </si>
  <si>
    <t>Marcos Souza</t>
  </si>
  <si>
    <t>marcos.souza@planoeplano.com.br</t>
  </si>
  <si>
    <t>Paloma Pereira</t>
  </si>
  <si>
    <t>Viabilidade Arquitetonica</t>
  </si>
  <si>
    <t>paloma.pereira@planoeplano.com.br</t>
  </si>
  <si>
    <t>Paulo Gambini</t>
  </si>
  <si>
    <t>paulo.gambini@planoeplano.com.br</t>
  </si>
  <si>
    <t>Luciana Cavalcante</t>
  </si>
  <si>
    <t>luciana.cavalcante@planoeplano.com.br</t>
  </si>
  <si>
    <t>Alexandre Gouvea</t>
  </si>
  <si>
    <t>alexandre.gouvea@planoeplano.com.br</t>
  </si>
  <si>
    <t>Gerente Jurídico</t>
  </si>
  <si>
    <t>Gabriela Nascimento</t>
  </si>
  <si>
    <t>Advogado SR</t>
  </si>
  <si>
    <t>gabriela.nascimento@planoeplano.com.br</t>
  </si>
  <si>
    <t>Pedro Oliveira</t>
  </si>
  <si>
    <t>SLO - Terceiro</t>
  </si>
  <si>
    <t>pedro.oliveira@planoeplano.com.br</t>
  </si>
  <si>
    <t>Tadashi Sato</t>
  </si>
  <si>
    <t>tadashi.sato@planoeplano.com.br</t>
  </si>
  <si>
    <t xml:space="preserve">Coordenadora Juridico  </t>
  </si>
  <si>
    <t>lucas.norato@planoeplano.com.br</t>
  </si>
  <si>
    <t>Cristian Quadros</t>
  </si>
  <si>
    <t>Barbara Barreto</t>
  </si>
  <si>
    <t>barbara.barreto@planoeplano.com.br</t>
  </si>
  <si>
    <t>Deise Xavier</t>
  </si>
  <si>
    <t>deise.xavier@planoeplano.com.br</t>
  </si>
  <si>
    <t>Marcos Azevedo</t>
  </si>
  <si>
    <t>marcos.azevedo@planoeplano.com.br</t>
  </si>
  <si>
    <t>Janaina Azevedo</t>
  </si>
  <si>
    <t>Eduardo Silva</t>
  </si>
  <si>
    <t>eduardo.silva@planoeplano.com.br</t>
  </si>
  <si>
    <t>Adriana Geraldo</t>
  </si>
  <si>
    <t>adriana.geraldo@planoeplano.com.br</t>
  </si>
  <si>
    <t>Aline Valeiro</t>
  </si>
  <si>
    <t>aline.valeiro@planoeplano.com.br</t>
  </si>
  <si>
    <t>Mauro Belvisi</t>
  </si>
  <si>
    <t>mauro.belvisi@planoeplano.com.br</t>
  </si>
  <si>
    <t>Anderson Viana</t>
  </si>
  <si>
    <t>anderson.viana@planoeplano.com.br</t>
  </si>
  <si>
    <t>Vinicius Nascimento</t>
  </si>
  <si>
    <t>vinicius.nascimento@planoeplano.com.br</t>
  </si>
  <si>
    <t>Neimar Carvalho</t>
  </si>
  <si>
    <t>neimar.carvalho@planoeplano.com.br</t>
  </si>
  <si>
    <t>Felipe Zarbetti</t>
  </si>
  <si>
    <t>felipe.zarbetti@planoeplano.com.br</t>
  </si>
  <si>
    <t>Wilson</t>
  </si>
  <si>
    <t>wilson@planoeplano.com.br</t>
  </si>
  <si>
    <t>Dany Zoboli</t>
  </si>
  <si>
    <t>Riberto Andrade</t>
  </si>
  <si>
    <t>riberto.andrade@planoeplano.com.br</t>
  </si>
  <si>
    <t>* Necessário Validar *</t>
  </si>
  <si>
    <t>Andreia Santos</t>
  </si>
  <si>
    <t>andreia.santos@planoeplano.com.br</t>
  </si>
  <si>
    <t>Daiane Leite</t>
  </si>
  <si>
    <t>Luana Silva</t>
  </si>
  <si>
    <t>Analista</t>
  </si>
  <si>
    <t>luana.silva@planoeplano.com.br</t>
  </si>
  <si>
    <t>Jadson Silva</t>
  </si>
  <si>
    <t>Supervisor</t>
  </si>
  <si>
    <t>jadson.silva@planoeplano.com.br</t>
  </si>
  <si>
    <t>Márcio Silva</t>
  </si>
  <si>
    <t>Gerente Operações Financeiras</t>
  </si>
  <si>
    <t>marcio.silva@planoeplano.com.br</t>
  </si>
  <si>
    <t>Andre Sterzza</t>
  </si>
  <si>
    <t>Mario Silva</t>
  </si>
  <si>
    <t>mario.silva@planoeplano.com.br</t>
  </si>
  <si>
    <t>José Saes</t>
  </si>
  <si>
    <t>jose.saes@planoeplano.com.br</t>
  </si>
  <si>
    <t>Gerente</t>
  </si>
  <si>
    <t>Atividade</t>
  </si>
  <si>
    <t>Sponsor
(Ricardo S.)</t>
  </si>
  <si>
    <t>Comitê Exec.</t>
  </si>
  <si>
    <t>Ger. Programa
(Lucas F.)</t>
  </si>
  <si>
    <t>Líder Arq.
(Thiago G.)</t>
  </si>
  <si>
    <t>Decisores
Go-NoGo</t>
  </si>
  <si>
    <t>Key Users
(Time)</t>
  </si>
  <si>
    <t>Nome da atividade</t>
  </si>
  <si>
    <t>R / A / C / I</t>
  </si>
  <si>
    <t>Definição de escopo e requisitos</t>
  </si>
  <si>
    <t>A</t>
  </si>
  <si>
    <t>C</t>
  </si>
  <si>
    <t>R</t>
  </si>
  <si>
    <t>I</t>
  </si>
  <si>
    <t>Homologação / Testes de aceitação</t>
  </si>
  <si>
    <t>Decisão de Go-NoGo por fase</t>
  </si>
  <si>
    <t>Gestão de mudanças e comunicação</t>
  </si>
  <si>
    <t>Treinamento de usuários finais</t>
  </si>
  <si>
    <t>Integração com sistemas legados (SAP)</t>
  </si>
  <si>
    <t>Monitoramento de riscos e impedimentos</t>
  </si>
  <si>
    <t>Aprovação de budget e recursos</t>
  </si>
  <si>
    <t>Legenda:</t>
  </si>
  <si>
    <t>R = Responsável</t>
  </si>
  <si>
    <t>A = Aprovador</t>
  </si>
  <si>
    <t>C = Consultado</t>
  </si>
  <si>
    <t>I = Informado</t>
  </si>
  <si>
    <t>Indicador</t>
  </si>
  <si>
    <t>Realizado</t>
  </si>
  <si>
    <t>Meta</t>
  </si>
  <si>
    <t>% Atingido</t>
  </si>
  <si>
    <t>Key Users Capacitados</t>
  </si>
  <si>
    <t>Usuários Finais Treinados</t>
  </si>
  <si>
    <t>Sessões de Treinamento Realizadas</t>
  </si>
  <si>
    <t>Satisfação dos Treinamentos (NPS)</t>
  </si>
  <si>
    <t>Fornecedor</t>
  </si>
  <si>
    <t>Orçado (R$)</t>
  </si>
  <si>
    <t>Ex: Consultoria</t>
  </si>
  <si>
    <t>Nome do fornecedor</t>
  </si>
  <si>
    <t>Valor total orçado</t>
  </si>
  <si>
    <t>Licenças Softexpert</t>
  </si>
  <si>
    <t>Consultoria &amp; Implantação</t>
  </si>
  <si>
    <t>Treinamentos</t>
  </si>
  <si>
    <t>Hosting</t>
  </si>
  <si>
    <t>Despesas Internas de TI</t>
  </si>
  <si>
    <t>Plano&amp;Plano (interno)</t>
  </si>
  <si>
    <t>Integração</t>
  </si>
  <si>
    <t>Hiperdados</t>
  </si>
  <si>
    <t>Gestão</t>
  </si>
  <si>
    <t>Orçado</t>
  </si>
  <si>
    <t>SALDO</t>
  </si>
  <si>
    <t>Data</t>
  </si>
  <si>
    <t>% Avanço Geral</t>
  </si>
  <si>
    <t>Média dos projetos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</si>
</sst>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R$&quot;\ #,##0.00"/>
  </numFmts>
  <fonts count="19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10"/>
      <color rgb="FF888888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i/>
      <sz val="9"/>
      <color rgb="FF888888"/>
      <name val="Arial"/>
      <family val="2"/>
    </font>
    <font>
      <sz val="11"/>
      <color rgb="FF000000"/>
      <name val="Calibri"/>
      <family val="2"/>
      <charset val="1"/>
    </font>
    <font>
      <sz val="11"/>
      <color rgb="FF242424"/>
      <name val="Aptos Narrow"/>
      <family val="2"/>
    </font>
    <font>
      <u/>
      <sz val="11"/>
      <color theme="10"/>
      <name val="Calibri"/>
      <family val="2"/>
      <charset val="1"/>
    </font>
    <font>
      <sz val="11"/>
      <color theme="1"/>
      <name val="Segoe UI"/>
      <family val="2"/>
    </font>
    <font>
      <sz val="11"/>
      <color rgb="FF242424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charset val="1"/>
    </font>
    <font>
      <b/>
      <sz val="11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0F0F0"/>
      </patternFill>
    </fill>
    <fill>
      <patternFill patternType="solid">
        <fgColor rgb="FFF0F0F0"/>
        <bgColor rgb="FFECEAE6"/>
      </patternFill>
    </fill>
    <fill>
      <patternFill patternType="solid">
        <fgColor rgb="FFF59E0B"/>
        <bgColor rgb="FFFFCC00"/>
      </patternFill>
    </fill>
    <fill>
      <patternFill patternType="solid">
        <fgColor rgb="FFE8584F"/>
        <bgColor rgb="FFFF8080"/>
      </patternFill>
    </fill>
    <fill>
      <patternFill patternType="solid">
        <fgColor rgb="FFECEAE6"/>
        <bgColor rgb="FFF0F0F0"/>
      </patternFill>
    </fill>
    <fill>
      <patternFill patternType="solid">
        <fgColor rgb="FFFFFFFF"/>
      </patternFill>
    </fill>
    <fill>
      <patternFill patternType="solid">
        <fgColor rgb="FF1B2A4A"/>
      </patternFill>
    </fill>
    <fill>
      <patternFill patternType="solid">
        <fgColor rgb="FFF0F0F0"/>
      </patternFill>
    </fill>
    <fill>
      <patternFill patternType="solid">
        <fgColor rgb="FF1B2A4A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ECEAE6"/>
      </left>
      <right style="thin">
        <color rgb="FFECEAE6"/>
      </right>
      <top style="thin">
        <color rgb="FFECEAE6"/>
      </top>
      <bottom style="thin">
        <color rgb="FFECEA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9">
    <xf numFmtId="0" fontId="0" fillId="0" borderId="0" xfId="0"/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left" vertical="center" wrapText="1"/>
    </xf>
    <xf numFmtId="0" fontId="0" fillId="8" borderId="0" xfId="0" applyFill="1"/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9" fontId="7" fillId="0" borderId="2" xfId="0" applyNumberFormat="1" applyFont="1" applyBorder="1" applyAlignment="1">
      <alignment vertical="center" wrapText="1"/>
    </xf>
    <xf numFmtId="14" fontId="7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9" fontId="8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0" fontId="9" fillId="0" borderId="0" xfId="0" applyFont="1"/>
    <xf numFmtId="0" fontId="0" fillId="13" borderId="0" xfId="0" applyFill="1"/>
    <xf numFmtId="14" fontId="0" fillId="0" borderId="0" xfId="0" applyNumberFormat="1"/>
    <xf numFmtId="14" fontId="10" fillId="0" borderId="0" xfId="0" applyNumberFormat="1" applyFont="1"/>
    <xf numFmtId="49" fontId="7" fillId="0" borderId="2" xfId="0" applyNumberFormat="1" applyFont="1" applyBorder="1" applyAlignment="1">
      <alignment vertical="center" wrapText="1"/>
    </xf>
    <xf numFmtId="0" fontId="7" fillId="14" borderId="2" xfId="0" applyFont="1" applyFill="1" applyBorder="1" applyAlignment="1">
      <alignment vertical="center" wrapText="1"/>
    </xf>
    <xf numFmtId="0" fontId="12" fillId="0" borderId="0" xfId="0" applyFont="1"/>
    <xf numFmtId="0" fontId="11" fillId="0" borderId="0" xfId="1"/>
    <xf numFmtId="0" fontId="0" fillId="0" borderId="0" xfId="0" applyAlignment="1">
      <alignment wrapText="1"/>
    </xf>
    <xf numFmtId="0" fontId="11" fillId="0" borderId="0" xfId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vertical="center" wrapText="1"/>
    </xf>
    <xf numFmtId="0" fontId="14" fillId="8" borderId="2" xfId="0" applyFont="1" applyFill="1" applyBorder="1" applyAlignment="1">
      <alignment vertical="center" wrapText="1"/>
    </xf>
    <xf numFmtId="0" fontId="15" fillId="0" borderId="0" xfId="0" applyFont="1"/>
    <xf numFmtId="1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4" fontId="14" fillId="8" borderId="2" xfId="0" applyNumberFormat="1" applyFont="1" applyFill="1" applyBorder="1" applyAlignment="1">
      <alignment horizontal="center" vertical="center" wrapText="1"/>
    </xf>
    <xf numFmtId="0" fontId="0" fillId="14" borderId="0" xfId="0" applyFill="1"/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center"/>
    </xf>
    <xf numFmtId="14" fontId="3" fillId="8" borderId="2" xfId="0" applyNumberFormat="1" applyFont="1" applyFill="1" applyBorder="1" applyAlignment="1">
      <alignment vertical="center" wrapText="1"/>
    </xf>
    <xf numFmtId="0" fontId="10" fillId="14" borderId="0" xfId="0" applyFont="1" applyFill="1"/>
    <xf numFmtId="0" fontId="2" fillId="0" borderId="2" xfId="0" applyFont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14" fontId="3" fillId="0" borderId="4" xfId="0" applyNumberFormat="1" applyFont="1" applyBorder="1"/>
    <xf numFmtId="0" fontId="3" fillId="0" borderId="4" xfId="0" applyFont="1" applyBorder="1"/>
    <xf numFmtId="0" fontId="2" fillId="11" borderId="2" xfId="0" applyFont="1" applyFill="1" applyBorder="1"/>
    <xf numFmtId="0" fontId="8" fillId="12" borderId="4" xfId="0" applyFont="1" applyFill="1" applyBorder="1"/>
    <xf numFmtId="0" fontId="7" fillId="14" borderId="2" xfId="0" applyFont="1" applyFill="1" applyBorder="1" applyAlignment="1">
      <alignment wrapText="1"/>
    </xf>
    <xf numFmtId="0" fontId="7" fillId="14" borderId="3" xfId="0" applyFont="1" applyFill="1" applyBorder="1" applyAlignment="1">
      <alignment wrapText="1"/>
    </xf>
    <xf numFmtId="0" fontId="3" fillId="14" borderId="5" xfId="0" applyFont="1" applyFill="1" applyBorder="1"/>
    <xf numFmtId="0" fontId="7" fillId="14" borderId="0" xfId="0" applyFont="1" applyFill="1" applyAlignment="1">
      <alignment wrapText="1"/>
    </xf>
    <xf numFmtId="0" fontId="3" fillId="14" borderId="4" xfId="0" applyFont="1" applyFill="1" applyBorder="1"/>
    <xf numFmtId="0" fontId="10" fillId="0" borderId="0" xfId="0" applyFont="1"/>
    <xf numFmtId="0" fontId="2" fillId="11" borderId="3" xfId="0" applyFont="1" applyFill="1" applyBorder="1" applyAlignment="1">
      <alignment wrapText="1"/>
    </xf>
    <xf numFmtId="17" fontId="2" fillId="11" borderId="3" xfId="0" applyNumberFormat="1" applyFont="1" applyFill="1" applyBorder="1" applyAlignment="1">
      <alignment wrapText="1"/>
    </xf>
    <xf numFmtId="0" fontId="8" fillId="12" borderId="5" xfId="0" applyFont="1" applyFill="1" applyBorder="1"/>
    <xf numFmtId="0" fontId="4" fillId="0" borderId="4" xfId="0" applyFont="1" applyBorder="1"/>
    <xf numFmtId="0" fontId="4" fillId="0" borderId="5" xfId="0" applyFont="1" applyBorder="1"/>
    <xf numFmtId="165" fontId="3" fillId="0" borderId="5" xfId="0" applyNumberFormat="1" applyFont="1" applyBorder="1"/>
    <xf numFmtId="0" fontId="2" fillId="11" borderId="3" xfId="0" applyFont="1" applyFill="1" applyBorder="1"/>
    <xf numFmtId="0" fontId="3" fillId="0" borderId="5" xfId="0" applyFont="1" applyBorder="1"/>
    <xf numFmtId="0" fontId="0" fillId="15" borderId="0" xfId="0" applyFill="1" applyAlignment="1">
      <alignment horizontal="left" vertical="top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65" fontId="0" fillId="0" borderId="0" xfId="0" applyNumberFormat="1"/>
    <xf numFmtId="0" fontId="18" fillId="16" borderId="0" xfId="0" applyFont="1" applyFill="1"/>
    <xf numFmtId="165" fontId="18" fillId="16" borderId="0" xfId="0" applyNumberFormat="1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88888"/>
      <rgbColor rgb="FF9999FF"/>
      <rgbColor rgb="FF993366"/>
      <rgbColor rgb="FFF0F0F0"/>
      <rgbColor rgb="FFECEA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59E0B"/>
      <rgbColor rgb="FFE8584F"/>
      <rgbColor rgb="FF7C3AED"/>
      <rgbColor rgb="FF969696"/>
      <rgbColor rgb="FF003366"/>
      <rgbColor rgb="FF10B981"/>
      <rgbColor rgb="FF003300"/>
      <rgbColor rgb="FF333300"/>
      <rgbColor rgb="FF993300"/>
      <rgbColor rgb="FF993366"/>
      <rgbColor rgb="FF2A3F6B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odrigo.bernardo@planoeplano.com.br" TargetMode="External"/><Relationship Id="rId13" Type="http://schemas.openxmlformats.org/officeDocument/2006/relationships/hyperlink" Target="mailto:luciana.vieira@planoeplano.com.br" TargetMode="External"/><Relationship Id="rId18" Type="http://schemas.openxmlformats.org/officeDocument/2006/relationships/hyperlink" Target="mailto:wilson@planoeplano.com.br" TargetMode="External"/><Relationship Id="rId3" Type="http://schemas.openxmlformats.org/officeDocument/2006/relationships/hyperlink" Target="mailto:marco.cardoso@planoeplano.com.br" TargetMode="External"/><Relationship Id="rId21" Type="http://schemas.openxmlformats.org/officeDocument/2006/relationships/hyperlink" Target="mailto:marcelof@d-bd.co" TargetMode="External"/><Relationship Id="rId7" Type="http://schemas.openxmlformats.org/officeDocument/2006/relationships/hyperlink" Target="mailto:gmunhoz@softexpert.com" TargetMode="External"/><Relationship Id="rId12" Type="http://schemas.openxmlformats.org/officeDocument/2006/relationships/hyperlink" Target="mailto:adriana.bittencourt@planoeplano.com.br" TargetMode="External"/><Relationship Id="rId17" Type="http://schemas.openxmlformats.org/officeDocument/2006/relationships/hyperlink" Target="mailto:maria.silva@planoeplano.com.br" TargetMode="External"/><Relationship Id="rId2" Type="http://schemas.openxmlformats.org/officeDocument/2006/relationships/hyperlink" Target="mailto:leonardo.araujo@planoeplano.com.br" TargetMode="External"/><Relationship Id="rId16" Type="http://schemas.openxmlformats.org/officeDocument/2006/relationships/hyperlink" Target="mailto:andreza@d-bd.co" TargetMode="External"/><Relationship Id="rId20" Type="http://schemas.openxmlformats.org/officeDocument/2006/relationships/hyperlink" Target="mailto:luciano.rafael@planoeplano.com.br" TargetMode="External"/><Relationship Id="rId1" Type="http://schemas.openxmlformats.org/officeDocument/2006/relationships/hyperlink" Target="mailto:henrique.garcia@planoeplano.com.br" TargetMode="External"/><Relationship Id="rId6" Type="http://schemas.openxmlformats.org/officeDocument/2006/relationships/hyperlink" Target="mailto:claudio@d-bd.co" TargetMode="External"/><Relationship Id="rId11" Type="http://schemas.openxmlformats.org/officeDocument/2006/relationships/hyperlink" Target="mailto:gina.giuseppe@planoeplano.com.br" TargetMode="External"/><Relationship Id="rId24" Type="http://schemas.openxmlformats.org/officeDocument/2006/relationships/hyperlink" Target="mailto:marcos.azevedo@planoeplano.com.br" TargetMode="External"/><Relationship Id="rId5" Type="http://schemas.openxmlformats.org/officeDocument/2006/relationships/hyperlink" Target="mailto:fernando.fujii@planoeplano.com.br" TargetMode="External"/><Relationship Id="rId15" Type="http://schemas.openxmlformats.org/officeDocument/2006/relationships/hyperlink" Target="mailto:claudio@d-bd.co" TargetMode="External"/><Relationship Id="rId23" Type="http://schemas.openxmlformats.org/officeDocument/2006/relationships/hyperlink" Target="mailto:felipe.zarbetti@planoeplano.com.br" TargetMode="External"/><Relationship Id="rId10" Type="http://schemas.openxmlformats.org/officeDocument/2006/relationships/hyperlink" Target="mailto:mayara.santos@planoeplano.com.br" TargetMode="External"/><Relationship Id="rId19" Type="http://schemas.openxmlformats.org/officeDocument/2006/relationships/hyperlink" Target="mailto:wilson@planoeplano.com.br" TargetMode="External"/><Relationship Id="rId4" Type="http://schemas.openxmlformats.org/officeDocument/2006/relationships/hyperlink" Target="mailto:fabio.silva@planoeplano.com.br" TargetMode="External"/><Relationship Id="rId9" Type="http://schemas.openxmlformats.org/officeDocument/2006/relationships/hyperlink" Target="mailto:luiz.novaes@planoeplano.com.br" TargetMode="External"/><Relationship Id="rId14" Type="http://schemas.openxmlformats.org/officeDocument/2006/relationships/hyperlink" Target="mailto:donato.avila@planoeplano.com.br" TargetMode="External"/><Relationship Id="rId22" Type="http://schemas.openxmlformats.org/officeDocument/2006/relationships/hyperlink" Target="mailto:fabio.silva@planoeplan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B14"/>
  <sheetViews>
    <sheetView zoomScaleNormal="100" workbookViewId="0">
      <selection activeCell="B4" sqref="B4"/>
    </sheetView>
  </sheetViews>
  <sheetFormatPr defaultColWidth="8.5703125" defaultRowHeight="14.45"/>
  <cols>
    <col min="1" max="1" width="25" customWidth="1"/>
    <col min="2" max="2" width="55" customWidth="1"/>
  </cols>
  <sheetData>
    <row r="1" spans="1:2" ht="14.25" customHeight="1">
      <c r="A1" s="5" t="s">
        <v>0</v>
      </c>
      <c r="B1" s="5" t="s">
        <v>1</v>
      </c>
    </row>
    <row r="2" spans="1:2" ht="15" customHeight="1">
      <c r="A2" s="6" t="s">
        <v>2</v>
      </c>
      <c r="B2" s="7" t="s">
        <v>3</v>
      </c>
    </row>
    <row r="3" spans="1:2" ht="23.85" customHeight="1">
      <c r="A3" s="6" t="s">
        <v>4</v>
      </c>
      <c r="B3" s="7" t="s">
        <v>5</v>
      </c>
    </row>
    <row r="4" spans="1:2" ht="15" customHeight="1">
      <c r="A4" s="6" t="s">
        <v>6</v>
      </c>
      <c r="B4" s="8" t="str">
        <f ca="1">TEXT(NOW(),"DD/MM/AAAA")</f>
        <v>14/10/2026</v>
      </c>
    </row>
    <row r="5" spans="1:2" ht="15" customHeight="1">
      <c r="A5" s="1"/>
      <c r="B5" s="2"/>
    </row>
    <row r="6" spans="1:2" ht="14.25" customHeight="1">
      <c r="A6" s="1"/>
      <c r="B6" s="2"/>
    </row>
    <row r="7" spans="1:2" ht="14.25" customHeight="1">
      <c r="A7" s="1"/>
      <c r="B7" s="2"/>
    </row>
    <row r="8" spans="1:2" ht="15" customHeight="1">
      <c r="A8" s="1"/>
      <c r="B8" s="2"/>
    </row>
    <row r="9" spans="1:2" ht="14.25" customHeight="1">
      <c r="A9" s="1"/>
      <c r="B9" s="2"/>
    </row>
    <row r="10" spans="1:2" ht="15" customHeight="1">
      <c r="A10" s="1"/>
      <c r="B10" s="3"/>
    </row>
    <row r="11" spans="1:2" ht="15" customHeight="1">
      <c r="A11" s="1"/>
      <c r="B11" s="2"/>
    </row>
    <row r="12" spans="1:2" ht="14.25" customHeight="1">
      <c r="A12" s="1"/>
      <c r="B12" s="2"/>
    </row>
    <row r="13" spans="1:2" ht="14.25" customHeight="1">
      <c r="A13" s="1"/>
      <c r="B13" s="2"/>
    </row>
    <row r="14" spans="1:2" ht="14.25" customHeight="1">
      <c r="A14" s="1"/>
      <c r="B14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584F"/>
  </sheetPr>
  <dimension ref="A1:K19"/>
  <sheetViews>
    <sheetView zoomScaleNormal="100" workbookViewId="0">
      <pane ySplit="2" topLeftCell="A3" activePane="bottomLeft" state="frozen"/>
      <selection pane="bottomLeft" activeCell="J3" sqref="J3"/>
    </sheetView>
  </sheetViews>
  <sheetFormatPr defaultColWidth="8.5703125" defaultRowHeight="14.45"/>
  <cols>
    <col min="1" max="1" width="5.5703125" bestFit="1" customWidth="1"/>
    <col min="2" max="2" width="23.28515625" customWidth="1"/>
    <col min="3" max="3" width="22.5703125" customWidth="1"/>
    <col min="4" max="4" width="16.7109375" bestFit="1" customWidth="1"/>
    <col min="5" max="5" width="12" customWidth="1"/>
    <col min="6" max="6" width="12.140625" customWidth="1"/>
    <col min="7" max="7" width="8.85546875" customWidth="1"/>
    <col min="8" max="8" width="16.28515625" customWidth="1"/>
    <col min="9" max="9" width="14.140625" bestFit="1" customWidth="1"/>
    <col min="10" max="10" width="18.140625" bestFit="1" customWidth="1"/>
    <col min="11" max="11" width="12.42578125" bestFit="1" customWidth="1"/>
  </cols>
  <sheetData>
    <row r="1" spans="1:11" ht="31.5" customHeight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</row>
    <row r="2" spans="1:11" ht="60">
      <c r="A2" s="9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25</v>
      </c>
      <c r="J2" s="9" t="s">
        <v>25</v>
      </c>
      <c r="K2" s="9" t="s">
        <v>25</v>
      </c>
    </row>
    <row r="3" spans="1:11" ht="24.95">
      <c r="A3" s="10" t="s">
        <v>26</v>
      </c>
      <c r="B3" s="10" t="s">
        <v>27</v>
      </c>
      <c r="C3" s="27" t="s">
        <v>28</v>
      </c>
      <c r="D3" s="10" t="s">
        <v>29</v>
      </c>
      <c r="E3" s="10" t="s">
        <v>30</v>
      </c>
      <c r="F3" s="10" t="s">
        <v>31</v>
      </c>
      <c r="G3" s="11">
        <v>0.36</v>
      </c>
      <c r="H3" s="47">
        <v>46028</v>
      </c>
      <c r="I3" s="47">
        <v>46028</v>
      </c>
      <c r="J3" s="47">
        <v>46211</v>
      </c>
      <c r="K3" s="47"/>
    </row>
    <row r="4" spans="1:11">
      <c r="A4" s="10" t="s">
        <v>32</v>
      </c>
      <c r="B4" s="10" t="s">
        <v>33</v>
      </c>
      <c r="C4" s="27" t="s">
        <v>34</v>
      </c>
      <c r="D4" s="10" t="s">
        <v>35</v>
      </c>
      <c r="E4" s="10" t="s">
        <v>30</v>
      </c>
      <c r="F4" s="10" t="s">
        <v>36</v>
      </c>
      <c r="G4" s="11">
        <v>0.61</v>
      </c>
      <c r="H4" s="47">
        <v>46048</v>
      </c>
      <c r="I4" s="47">
        <v>46048</v>
      </c>
      <c r="J4" s="25">
        <v>46139</v>
      </c>
      <c r="K4" s="25"/>
    </row>
    <row r="5" spans="1:11" ht="24.95">
      <c r="A5" s="10" t="s">
        <v>37</v>
      </c>
      <c r="B5" s="10" t="s">
        <v>38</v>
      </c>
      <c r="C5" s="27" t="s">
        <v>39</v>
      </c>
      <c r="D5" s="10" t="s">
        <v>35</v>
      </c>
      <c r="E5" s="10" t="s">
        <v>30</v>
      </c>
      <c r="F5" s="10" t="s">
        <v>40</v>
      </c>
      <c r="G5" s="11">
        <v>0.28000000000000003</v>
      </c>
      <c r="H5" s="47">
        <v>46066</v>
      </c>
      <c r="I5" s="47">
        <v>46066</v>
      </c>
      <c r="J5" s="47">
        <v>46178</v>
      </c>
      <c r="K5" s="47"/>
    </row>
    <row r="6" spans="1:11">
      <c r="A6" s="10" t="s">
        <v>41</v>
      </c>
      <c r="B6" s="10" t="s">
        <v>42</v>
      </c>
      <c r="C6" s="27" t="s">
        <v>43</v>
      </c>
      <c r="D6" s="10" t="s">
        <v>35</v>
      </c>
      <c r="E6" s="10" t="s">
        <v>44</v>
      </c>
      <c r="F6" s="10" t="s">
        <v>40</v>
      </c>
      <c r="G6" s="11">
        <v>0.19</v>
      </c>
      <c r="H6" s="47">
        <v>46066</v>
      </c>
      <c r="I6" s="47">
        <v>46066</v>
      </c>
      <c r="J6" s="25">
        <v>46225</v>
      </c>
      <c r="K6" s="25"/>
    </row>
    <row r="7" spans="1:11">
      <c r="A7" s="10" t="s">
        <v>45</v>
      </c>
      <c r="B7" s="10" t="s">
        <v>46</v>
      </c>
      <c r="C7" s="27" t="s">
        <v>47</v>
      </c>
      <c r="D7" s="10" t="s">
        <v>35</v>
      </c>
      <c r="E7" s="10" t="s">
        <v>48</v>
      </c>
      <c r="F7" s="10" t="s">
        <v>49</v>
      </c>
      <c r="G7" s="11">
        <v>0</v>
      </c>
      <c r="H7" s="25">
        <v>46113</v>
      </c>
      <c r="J7" s="25">
        <v>46196</v>
      </c>
      <c r="K7" s="12"/>
    </row>
    <row r="8" spans="1:11">
      <c r="A8" s="10" t="s">
        <v>50</v>
      </c>
      <c r="B8" s="10" t="s">
        <v>51</v>
      </c>
      <c r="C8" s="27" t="s">
        <v>52</v>
      </c>
      <c r="D8" s="10" t="s">
        <v>35</v>
      </c>
      <c r="E8" s="10" t="s">
        <v>48</v>
      </c>
      <c r="F8" s="10" t="s">
        <v>49</v>
      </c>
      <c r="G8" s="11">
        <v>0</v>
      </c>
      <c r="H8" s="12">
        <v>46125</v>
      </c>
      <c r="I8" s="12"/>
      <c r="J8" s="12">
        <v>46206</v>
      </c>
      <c r="K8" s="12"/>
    </row>
    <row r="9" spans="1:11">
      <c r="A9" s="10" t="s">
        <v>53</v>
      </c>
      <c r="B9" s="10" t="s">
        <v>54</v>
      </c>
      <c r="C9" s="27" t="s">
        <v>52</v>
      </c>
      <c r="D9" s="10" t="s">
        <v>35</v>
      </c>
      <c r="E9" s="10" t="s">
        <v>30</v>
      </c>
      <c r="F9" s="10" t="s">
        <v>40</v>
      </c>
      <c r="G9" s="11">
        <v>0.17</v>
      </c>
      <c r="H9" s="12">
        <v>46084</v>
      </c>
      <c r="I9" s="12">
        <v>46084</v>
      </c>
      <c r="J9" s="12">
        <v>46162</v>
      </c>
      <c r="K9" s="12"/>
    </row>
    <row r="10" spans="1:11">
      <c r="A10" s="10" t="s">
        <v>55</v>
      </c>
      <c r="B10" s="10" t="s">
        <v>56</v>
      </c>
      <c r="C10" s="27" t="s">
        <v>57</v>
      </c>
      <c r="D10" s="10" t="s">
        <v>35</v>
      </c>
      <c r="E10" s="10" t="s">
        <v>48</v>
      </c>
      <c r="F10" s="10" t="s">
        <v>49</v>
      </c>
      <c r="G10" s="11">
        <v>0</v>
      </c>
      <c r="H10" s="12"/>
      <c r="I10" s="12"/>
      <c r="J10" s="12"/>
      <c r="K10" s="12"/>
    </row>
    <row r="11" spans="1:11">
      <c r="A11" s="10" t="s">
        <v>58</v>
      </c>
      <c r="B11" s="10" t="s">
        <v>59</v>
      </c>
      <c r="C11" s="27" t="s">
        <v>59</v>
      </c>
      <c r="D11" s="10" t="s">
        <v>35</v>
      </c>
      <c r="E11" s="10" t="s">
        <v>48</v>
      </c>
      <c r="F11" s="10" t="s">
        <v>49</v>
      </c>
      <c r="G11" s="11">
        <v>0</v>
      </c>
      <c r="H11" s="12">
        <v>46174</v>
      </c>
      <c r="I11" s="12"/>
      <c r="J11" s="12">
        <v>46244</v>
      </c>
      <c r="K11" s="12"/>
    </row>
    <row r="12" spans="1:11">
      <c r="A12" s="10" t="s">
        <v>60</v>
      </c>
      <c r="B12" s="10" t="s">
        <v>61</v>
      </c>
      <c r="C12" s="27" t="s">
        <v>61</v>
      </c>
      <c r="D12" s="10" t="s">
        <v>35</v>
      </c>
      <c r="E12" s="10" t="s">
        <v>48</v>
      </c>
      <c r="F12" s="10" t="s">
        <v>49</v>
      </c>
      <c r="G12" s="11">
        <v>0</v>
      </c>
      <c r="H12" s="12">
        <v>46188</v>
      </c>
      <c r="I12" s="12"/>
      <c r="J12" s="12">
        <v>46265</v>
      </c>
      <c r="K12" s="12"/>
    </row>
    <row r="13" spans="1:11">
      <c r="A13" s="10" t="s">
        <v>62</v>
      </c>
      <c r="B13" s="10" t="s">
        <v>63</v>
      </c>
      <c r="C13" s="27" t="s">
        <v>64</v>
      </c>
      <c r="D13" s="10" t="s">
        <v>35</v>
      </c>
      <c r="E13" s="10" t="s">
        <v>30</v>
      </c>
      <c r="F13" s="10" t="s">
        <v>40</v>
      </c>
      <c r="G13" s="11">
        <v>0.16</v>
      </c>
      <c r="H13" s="12">
        <v>46084</v>
      </c>
      <c r="I13" s="12">
        <v>46084</v>
      </c>
      <c r="J13" s="12">
        <v>46167</v>
      </c>
      <c r="K13" s="12"/>
    </row>
    <row r="14" spans="1:11">
      <c r="A14" s="10" t="s">
        <v>65</v>
      </c>
      <c r="B14" s="10" t="s">
        <v>66</v>
      </c>
      <c r="C14" s="27" t="s">
        <v>52</v>
      </c>
      <c r="D14" s="10" t="s">
        <v>35</v>
      </c>
      <c r="E14" s="10" t="s">
        <v>48</v>
      </c>
      <c r="F14" s="10" t="s">
        <v>49</v>
      </c>
      <c r="G14" s="11">
        <v>0</v>
      </c>
      <c r="H14" s="12">
        <v>46146</v>
      </c>
      <c r="I14" s="12"/>
      <c r="J14" s="12">
        <v>37471</v>
      </c>
      <c r="K14" s="12"/>
    </row>
    <row r="15" spans="1:11">
      <c r="A15" s="10" t="s">
        <v>67</v>
      </c>
      <c r="B15" s="10" t="s">
        <v>68</v>
      </c>
      <c r="C15" s="27" t="s">
        <v>52</v>
      </c>
      <c r="D15" s="10" t="s">
        <v>35</v>
      </c>
      <c r="E15" s="10" t="s">
        <v>48</v>
      </c>
      <c r="F15" s="10" t="s">
        <v>49</v>
      </c>
      <c r="G15" s="11">
        <v>0</v>
      </c>
      <c r="H15" s="12">
        <v>46286</v>
      </c>
      <c r="I15" s="12"/>
      <c r="J15" s="12">
        <v>46374</v>
      </c>
      <c r="K15" s="12"/>
    </row>
    <row r="16" spans="1:11">
      <c r="A16" s="10" t="s">
        <v>69</v>
      </c>
      <c r="B16" s="10" t="s">
        <v>70</v>
      </c>
      <c r="C16" s="27" t="s">
        <v>52</v>
      </c>
      <c r="D16" s="10" t="s">
        <v>35</v>
      </c>
      <c r="E16" s="10" t="s">
        <v>48</v>
      </c>
      <c r="F16" s="10" t="s">
        <v>49</v>
      </c>
      <c r="G16" s="11">
        <v>0</v>
      </c>
      <c r="H16" s="12">
        <v>46216</v>
      </c>
      <c r="I16" s="12"/>
      <c r="J16" s="12">
        <v>46300</v>
      </c>
      <c r="K16" s="12"/>
    </row>
    <row r="17" spans="1:11">
      <c r="A17" t="s">
        <v>71</v>
      </c>
      <c r="B17" t="s">
        <v>72</v>
      </c>
      <c r="C17" s="48" t="s">
        <v>59</v>
      </c>
      <c r="D17" t="s">
        <v>73</v>
      </c>
      <c r="E17" t="s">
        <v>74</v>
      </c>
      <c r="F17" t="s">
        <v>75</v>
      </c>
      <c r="G17" s="11">
        <v>1</v>
      </c>
      <c r="H17" s="24">
        <v>46037</v>
      </c>
      <c r="I17" s="24">
        <v>46037</v>
      </c>
      <c r="J17" s="24">
        <v>46069</v>
      </c>
      <c r="K17" s="24">
        <v>46069</v>
      </c>
    </row>
    <row r="18" spans="1:11">
      <c r="C18" s="41"/>
    </row>
    <row r="19" spans="1:11">
      <c r="C19" s="41"/>
    </row>
  </sheetData>
  <autoFilter ref="A1:K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3F6B"/>
  </sheetPr>
  <dimension ref="A1:J112"/>
  <sheetViews>
    <sheetView zoomScaleNormal="100" workbookViewId="0">
      <pane ySplit="2" topLeftCell="A3" activePane="bottomLeft" state="frozen"/>
      <selection pane="bottomLeft" activeCell="F15" sqref="F15"/>
    </sheetView>
  </sheetViews>
  <sheetFormatPr defaultColWidth="8.5703125" defaultRowHeight="14.45"/>
  <cols>
    <col min="1" max="1" width="12" customWidth="1"/>
    <col min="2" max="2" width="38.7109375" customWidth="1"/>
    <col min="3" max="3" width="37.140625" customWidth="1"/>
    <col min="4" max="7" width="16" style="33" customWidth="1"/>
    <col min="8" max="8" width="22" customWidth="1"/>
  </cols>
  <sheetData>
    <row r="1" spans="1:10" ht="30.75" customHeight="1">
      <c r="A1" s="49" t="s">
        <v>76</v>
      </c>
      <c r="B1" s="50" t="s">
        <v>8</v>
      </c>
      <c r="C1" s="50" t="s">
        <v>77</v>
      </c>
      <c r="D1" s="50" t="s">
        <v>14</v>
      </c>
      <c r="E1" s="50" t="s">
        <v>15</v>
      </c>
      <c r="F1" s="50" t="s">
        <v>16</v>
      </c>
      <c r="G1" s="50" t="s">
        <v>17</v>
      </c>
      <c r="H1" s="50" t="s">
        <v>11</v>
      </c>
      <c r="I1" s="4"/>
      <c r="J1" s="4"/>
    </row>
    <row r="2" spans="1:10" ht="36" customHeight="1">
      <c r="A2" s="51" t="s">
        <v>78</v>
      </c>
      <c r="B2" s="52" t="s">
        <v>79</v>
      </c>
      <c r="C2" s="52" t="s">
        <v>80</v>
      </c>
      <c r="D2" s="52" t="s">
        <v>25</v>
      </c>
      <c r="E2" s="52" t="s">
        <v>25</v>
      </c>
      <c r="F2" s="52" t="s">
        <v>25</v>
      </c>
      <c r="G2" s="52" t="s">
        <v>25</v>
      </c>
      <c r="H2" s="52" t="s">
        <v>81</v>
      </c>
      <c r="I2" s="4"/>
      <c r="J2" s="4"/>
    </row>
    <row r="3" spans="1:10" ht="15" customHeight="1">
      <c r="A3" s="35" t="s">
        <v>26</v>
      </c>
      <c r="B3" s="34" t="s">
        <v>82</v>
      </c>
      <c r="C3" s="43" t="s">
        <v>83</v>
      </c>
      <c r="D3" s="44" t="s">
        <v>84</v>
      </c>
      <c r="E3" s="44" t="s">
        <v>84</v>
      </c>
      <c r="F3" s="44" t="s">
        <v>85</v>
      </c>
      <c r="G3" s="44"/>
      <c r="H3" s="45" t="s">
        <v>86</v>
      </c>
      <c r="I3" s="4"/>
      <c r="J3" s="4"/>
    </row>
    <row r="4" spans="1:10" ht="15" customHeight="1">
      <c r="A4" s="35" t="s">
        <v>26</v>
      </c>
      <c r="B4" s="34" t="s">
        <v>82</v>
      </c>
      <c r="C4" s="43" t="s">
        <v>87</v>
      </c>
      <c r="D4" s="44" t="s">
        <v>84</v>
      </c>
      <c r="E4" s="44" t="s">
        <v>84</v>
      </c>
      <c r="F4" s="44" t="s">
        <v>88</v>
      </c>
      <c r="G4" s="44" t="s">
        <v>88</v>
      </c>
      <c r="H4" s="45" t="s">
        <v>89</v>
      </c>
      <c r="I4" s="4"/>
      <c r="J4" s="4"/>
    </row>
    <row r="5" spans="1:10" ht="15" customHeight="1">
      <c r="A5" s="35" t="s">
        <v>26</v>
      </c>
      <c r="B5" s="34" t="s">
        <v>82</v>
      </c>
      <c r="C5" s="43" t="s">
        <v>90</v>
      </c>
      <c r="D5" s="44" t="s">
        <v>91</v>
      </c>
      <c r="E5" s="44" t="s">
        <v>91</v>
      </c>
      <c r="F5" s="44" t="s">
        <v>85</v>
      </c>
      <c r="G5" s="44"/>
      <c r="H5" s="45" t="s">
        <v>86</v>
      </c>
      <c r="I5" s="4"/>
      <c r="J5" s="4"/>
    </row>
    <row r="6" spans="1:10" ht="15" customHeight="1">
      <c r="A6" s="35" t="s">
        <v>26</v>
      </c>
      <c r="B6" s="34" t="s">
        <v>82</v>
      </c>
      <c r="C6" s="43" t="s">
        <v>92</v>
      </c>
      <c r="D6" s="44" t="s">
        <v>91</v>
      </c>
      <c r="E6" s="44" t="s">
        <v>91</v>
      </c>
      <c r="F6" s="44" t="s">
        <v>93</v>
      </c>
      <c r="G6" s="44"/>
      <c r="H6" s="45" t="s">
        <v>86</v>
      </c>
      <c r="I6" s="4"/>
      <c r="J6" s="4"/>
    </row>
    <row r="7" spans="1:10" ht="15" customHeight="1">
      <c r="A7" s="35" t="s">
        <v>26</v>
      </c>
      <c r="B7" s="34" t="s">
        <v>82</v>
      </c>
      <c r="C7" s="43" t="s">
        <v>94</v>
      </c>
      <c r="D7" s="44" t="s">
        <v>91</v>
      </c>
      <c r="E7" s="44" t="s">
        <v>91</v>
      </c>
      <c r="F7" s="44" t="s">
        <v>95</v>
      </c>
      <c r="G7" s="44"/>
      <c r="H7" s="45" t="s">
        <v>86</v>
      </c>
      <c r="I7" s="4"/>
      <c r="J7" s="4"/>
    </row>
    <row r="8" spans="1:10" ht="15" customHeight="1">
      <c r="A8" s="35" t="s">
        <v>26</v>
      </c>
      <c r="B8" s="34" t="s">
        <v>82</v>
      </c>
      <c r="C8" s="43" t="s">
        <v>90</v>
      </c>
      <c r="D8" s="44" t="s">
        <v>96</v>
      </c>
      <c r="E8" s="44"/>
      <c r="F8" s="44" t="s">
        <v>93</v>
      </c>
      <c r="G8" s="44"/>
      <c r="H8" s="45" t="s">
        <v>97</v>
      </c>
      <c r="I8" s="4"/>
      <c r="J8" s="4"/>
    </row>
    <row r="9" spans="1:10" ht="15" customHeight="1">
      <c r="A9" s="35" t="s">
        <v>26</v>
      </c>
      <c r="B9" s="34" t="s">
        <v>82</v>
      </c>
      <c r="C9" s="43" t="s">
        <v>98</v>
      </c>
      <c r="D9" s="44" t="s">
        <v>99</v>
      </c>
      <c r="E9" s="44" t="s">
        <v>99</v>
      </c>
      <c r="F9" s="44" t="s">
        <v>100</v>
      </c>
      <c r="G9" s="44"/>
      <c r="H9" s="45" t="s">
        <v>86</v>
      </c>
      <c r="I9" s="4"/>
      <c r="J9" s="4"/>
    </row>
    <row r="10" spans="1:10" ht="15" customHeight="1">
      <c r="A10" s="35" t="s">
        <v>26</v>
      </c>
      <c r="B10" s="34" t="s">
        <v>82</v>
      </c>
      <c r="C10" s="43" t="s">
        <v>101</v>
      </c>
      <c r="D10" s="44" t="s">
        <v>99</v>
      </c>
      <c r="E10" s="44" t="s">
        <v>99</v>
      </c>
      <c r="F10" s="44" t="s">
        <v>95</v>
      </c>
      <c r="G10" s="44"/>
      <c r="H10" s="45" t="s">
        <v>86</v>
      </c>
      <c r="I10" s="4"/>
      <c r="J10" s="4"/>
    </row>
    <row r="11" spans="1:10" ht="15" customHeight="1">
      <c r="A11" s="35" t="s">
        <v>26</v>
      </c>
      <c r="B11" s="34" t="s">
        <v>82</v>
      </c>
      <c r="C11" s="43" t="s">
        <v>90</v>
      </c>
      <c r="D11" s="44" t="s">
        <v>102</v>
      </c>
      <c r="E11" s="44"/>
      <c r="F11" s="44" t="s">
        <v>100</v>
      </c>
      <c r="G11" s="44"/>
      <c r="H11" s="45" t="s">
        <v>97</v>
      </c>
      <c r="I11" s="4"/>
      <c r="J11" s="4"/>
    </row>
    <row r="12" spans="1:10" ht="15" customHeight="1">
      <c r="A12" s="35" t="s">
        <v>26</v>
      </c>
      <c r="B12" s="34" t="s">
        <v>82</v>
      </c>
      <c r="C12" s="43" t="s">
        <v>103</v>
      </c>
      <c r="D12" s="44" t="s">
        <v>104</v>
      </c>
      <c r="E12" s="44"/>
      <c r="F12" s="44" t="s">
        <v>105</v>
      </c>
      <c r="G12" s="44"/>
      <c r="H12" s="45" t="s">
        <v>97</v>
      </c>
      <c r="I12" s="4"/>
      <c r="J12" s="4"/>
    </row>
    <row r="13" spans="1:10" ht="15" customHeight="1">
      <c r="A13" s="35" t="s">
        <v>26</v>
      </c>
      <c r="B13" s="34" t="s">
        <v>82</v>
      </c>
      <c r="C13" s="43" t="s">
        <v>106</v>
      </c>
      <c r="D13" s="44" t="s">
        <v>107</v>
      </c>
      <c r="E13" s="44"/>
      <c r="F13" s="44" t="s">
        <v>108</v>
      </c>
      <c r="G13" s="44"/>
      <c r="H13" s="45" t="s">
        <v>97</v>
      </c>
      <c r="I13" s="4"/>
      <c r="J13" s="4"/>
    </row>
    <row r="14" spans="1:10" ht="15" customHeight="1">
      <c r="A14" s="35" t="s">
        <v>26</v>
      </c>
      <c r="B14" s="34" t="s">
        <v>82</v>
      </c>
      <c r="C14" s="43" t="s">
        <v>109</v>
      </c>
      <c r="D14" s="44" t="s">
        <v>110</v>
      </c>
      <c r="E14" s="44"/>
      <c r="F14" s="44" t="s">
        <v>111</v>
      </c>
      <c r="G14" s="44"/>
      <c r="H14" s="45" t="s">
        <v>97</v>
      </c>
      <c r="I14" s="4"/>
      <c r="J14" s="4"/>
    </row>
    <row r="15" spans="1:10" ht="15" customHeight="1">
      <c r="A15" s="35" t="s">
        <v>26</v>
      </c>
      <c r="B15" s="34" t="s">
        <v>82</v>
      </c>
      <c r="C15" s="43" t="s">
        <v>112</v>
      </c>
      <c r="D15" s="44" t="s">
        <v>113</v>
      </c>
      <c r="E15" s="44"/>
      <c r="F15" s="44" t="s">
        <v>113</v>
      </c>
      <c r="G15" s="44"/>
      <c r="H15" s="45" t="s">
        <v>97</v>
      </c>
      <c r="I15" s="4"/>
      <c r="J15" s="4"/>
    </row>
    <row r="16" spans="1:10" ht="15" customHeight="1">
      <c r="A16" s="35" t="s">
        <v>32</v>
      </c>
      <c r="B16" s="36" t="s">
        <v>33</v>
      </c>
      <c r="C16" s="37" t="s">
        <v>40</v>
      </c>
      <c r="D16" s="38">
        <v>46048</v>
      </c>
      <c r="E16" s="38">
        <v>46048</v>
      </c>
      <c r="F16" s="38">
        <v>46087</v>
      </c>
      <c r="G16" s="38">
        <v>46092</v>
      </c>
      <c r="H16" s="37" t="s">
        <v>74</v>
      </c>
      <c r="I16" s="4"/>
      <c r="J16" s="4"/>
    </row>
    <row r="17" spans="1:10" ht="15" customHeight="1">
      <c r="A17" s="35" t="s">
        <v>32</v>
      </c>
      <c r="B17" s="36" t="s">
        <v>33</v>
      </c>
      <c r="C17" s="37" t="s">
        <v>90</v>
      </c>
      <c r="D17" s="38">
        <v>46090</v>
      </c>
      <c r="E17" s="38">
        <v>46083</v>
      </c>
      <c r="F17" s="38">
        <v>46122</v>
      </c>
      <c r="G17" s="39"/>
      <c r="H17" s="37" t="s">
        <v>86</v>
      </c>
      <c r="I17" s="4"/>
      <c r="J17" s="4"/>
    </row>
    <row r="18" spans="1:10" ht="15" customHeight="1">
      <c r="A18" s="35" t="s">
        <v>32</v>
      </c>
      <c r="B18" s="36" t="s">
        <v>33</v>
      </c>
      <c r="C18" s="37" t="s">
        <v>103</v>
      </c>
      <c r="D18" s="38">
        <v>46126</v>
      </c>
      <c r="E18" s="39"/>
      <c r="F18" s="38">
        <v>46129</v>
      </c>
      <c r="G18" s="39"/>
      <c r="H18" s="37" t="s">
        <v>97</v>
      </c>
      <c r="I18" s="4"/>
      <c r="J18" s="4"/>
    </row>
    <row r="19" spans="1:10" ht="15" customHeight="1">
      <c r="A19" s="35" t="s">
        <v>32</v>
      </c>
      <c r="B19" s="36" t="s">
        <v>33</v>
      </c>
      <c r="C19" s="37" t="s">
        <v>109</v>
      </c>
      <c r="D19" s="38">
        <v>46139</v>
      </c>
      <c r="E19" s="39"/>
      <c r="F19" s="38">
        <v>46149</v>
      </c>
      <c r="G19" s="39"/>
      <c r="H19" s="37" t="s">
        <v>97</v>
      </c>
      <c r="I19" s="4"/>
      <c r="J19" s="4"/>
    </row>
    <row r="20" spans="1:10" ht="15" customHeight="1">
      <c r="A20" s="35" t="s">
        <v>32</v>
      </c>
      <c r="B20" s="36" t="s">
        <v>33</v>
      </c>
      <c r="C20" s="37" t="s">
        <v>112</v>
      </c>
      <c r="D20" s="38">
        <v>46149</v>
      </c>
      <c r="E20" s="39"/>
      <c r="F20" s="38">
        <v>46149</v>
      </c>
      <c r="G20" s="39"/>
      <c r="H20" s="37" t="s">
        <v>97</v>
      </c>
      <c r="I20" s="4"/>
      <c r="J20" s="4"/>
    </row>
    <row r="21" spans="1:10" ht="15" customHeight="1">
      <c r="A21" s="35" t="s">
        <v>37</v>
      </c>
      <c r="B21" s="36" t="s">
        <v>38</v>
      </c>
      <c r="C21" s="73" t="s">
        <v>114</v>
      </c>
      <c r="D21" s="75" t="s">
        <v>115</v>
      </c>
      <c r="E21" s="33" t="s">
        <v>115</v>
      </c>
      <c r="F21" s="75" t="s">
        <v>116</v>
      </c>
      <c r="G21" s="33" t="s">
        <v>117</v>
      </c>
      <c r="H21" s="74" t="s">
        <v>86</v>
      </c>
      <c r="I21" s="4"/>
      <c r="J21" s="4"/>
    </row>
    <row r="22" spans="1:10" ht="15" customHeight="1">
      <c r="A22" s="35" t="s">
        <v>37</v>
      </c>
      <c r="B22" s="36" t="s">
        <v>38</v>
      </c>
      <c r="C22" s="73" t="s">
        <v>90</v>
      </c>
      <c r="D22" s="75" t="s">
        <v>118</v>
      </c>
      <c r="E22" s="33" t="s">
        <v>117</v>
      </c>
      <c r="F22" s="75" t="s">
        <v>119</v>
      </c>
      <c r="G22" s="33" t="s">
        <v>117</v>
      </c>
      <c r="H22" s="74" t="s">
        <v>86</v>
      </c>
      <c r="I22" s="4"/>
      <c r="J22" s="4"/>
    </row>
    <row r="23" spans="1:10" ht="15" customHeight="1">
      <c r="A23" s="35" t="s">
        <v>37</v>
      </c>
      <c r="B23" s="36" t="s">
        <v>38</v>
      </c>
      <c r="C23" s="73" t="s">
        <v>103</v>
      </c>
      <c r="D23" s="75" t="s">
        <v>120</v>
      </c>
      <c r="E23" s="33" t="s">
        <v>117</v>
      </c>
      <c r="F23" s="75" t="s">
        <v>121</v>
      </c>
      <c r="G23" s="33" t="s">
        <v>117</v>
      </c>
      <c r="H23" s="74" t="s">
        <v>97</v>
      </c>
      <c r="I23" s="4"/>
      <c r="J23" s="4"/>
    </row>
    <row r="24" spans="1:10" ht="15" customHeight="1">
      <c r="A24" s="35" t="s">
        <v>37</v>
      </c>
      <c r="B24" s="36" t="s">
        <v>38</v>
      </c>
      <c r="C24" s="73" t="s">
        <v>122</v>
      </c>
      <c r="D24" s="75" t="s">
        <v>100</v>
      </c>
      <c r="E24" s="33" t="s">
        <v>117</v>
      </c>
      <c r="F24" s="75" t="s">
        <v>123</v>
      </c>
      <c r="G24" s="33" t="s">
        <v>117</v>
      </c>
      <c r="H24" s="74" t="s">
        <v>97</v>
      </c>
      <c r="I24" s="4"/>
      <c r="J24" s="4"/>
    </row>
    <row r="25" spans="1:10" ht="15" customHeight="1">
      <c r="A25" s="35" t="s">
        <v>37</v>
      </c>
      <c r="B25" s="36" t="s">
        <v>38</v>
      </c>
      <c r="C25" s="73" t="s">
        <v>109</v>
      </c>
      <c r="D25" s="75" t="s">
        <v>123</v>
      </c>
      <c r="E25" s="33" t="s">
        <v>117</v>
      </c>
      <c r="F25" s="75" t="s">
        <v>124</v>
      </c>
      <c r="G25" s="33" t="s">
        <v>117</v>
      </c>
      <c r="H25" s="74" t="s">
        <v>97</v>
      </c>
      <c r="I25" s="4"/>
      <c r="J25" s="4"/>
    </row>
    <row r="26" spans="1:10" ht="15" customHeight="1">
      <c r="A26" s="35" t="s">
        <v>37</v>
      </c>
      <c r="B26" s="36" t="s">
        <v>38</v>
      </c>
      <c r="C26" s="73" t="s">
        <v>112</v>
      </c>
      <c r="D26" s="75" t="s">
        <v>124</v>
      </c>
      <c r="E26" s="33" t="s">
        <v>117</v>
      </c>
      <c r="F26" s="75" t="s">
        <v>124</v>
      </c>
      <c r="G26" s="33" t="s">
        <v>117</v>
      </c>
      <c r="H26" s="74" t="s">
        <v>97</v>
      </c>
      <c r="I26" s="4"/>
      <c r="J26" s="4"/>
    </row>
    <row r="27" spans="1:10" ht="15" customHeight="1">
      <c r="A27" s="35" t="s">
        <v>41</v>
      </c>
      <c r="B27" s="36" t="s">
        <v>42</v>
      </c>
      <c r="C27" s="43" t="s">
        <v>125</v>
      </c>
      <c r="D27" s="44" t="s">
        <v>115</v>
      </c>
      <c r="E27" s="44" t="s">
        <v>115</v>
      </c>
      <c r="F27" s="44" t="s">
        <v>116</v>
      </c>
      <c r="G27" s="44" t="s">
        <v>117</v>
      </c>
      <c r="H27" s="45" t="s">
        <v>86</v>
      </c>
      <c r="I27" s="4"/>
      <c r="J27" s="4"/>
    </row>
    <row r="28" spans="1:10" ht="15" customHeight="1">
      <c r="A28" s="35" t="s">
        <v>41</v>
      </c>
      <c r="B28" s="36" t="s">
        <v>42</v>
      </c>
      <c r="C28" s="43" t="s">
        <v>90</v>
      </c>
      <c r="D28" s="44" t="s">
        <v>126</v>
      </c>
      <c r="E28" s="44" t="s">
        <v>117</v>
      </c>
      <c r="F28" s="44" t="s">
        <v>127</v>
      </c>
      <c r="G28" s="44" t="s">
        <v>117</v>
      </c>
      <c r="H28" s="45" t="s">
        <v>97</v>
      </c>
      <c r="I28" s="4"/>
      <c r="J28" s="4"/>
    </row>
    <row r="29" spans="1:10" ht="15" customHeight="1">
      <c r="A29" s="35" t="s">
        <v>41</v>
      </c>
      <c r="B29" s="36" t="s">
        <v>42</v>
      </c>
      <c r="C29" s="43" t="s">
        <v>103</v>
      </c>
      <c r="D29" s="44" t="s">
        <v>128</v>
      </c>
      <c r="E29" s="44" t="s">
        <v>117</v>
      </c>
      <c r="F29" s="44" t="s">
        <v>129</v>
      </c>
      <c r="G29" s="44" t="s">
        <v>117</v>
      </c>
      <c r="H29" s="45" t="s">
        <v>97</v>
      </c>
      <c r="I29" s="4"/>
      <c r="J29" s="4"/>
    </row>
    <row r="30" spans="1:10" ht="15" customHeight="1">
      <c r="A30" s="35" t="s">
        <v>41</v>
      </c>
      <c r="B30" s="36" t="s">
        <v>42</v>
      </c>
      <c r="C30" s="32" t="s">
        <v>130</v>
      </c>
      <c r="D30" s="46">
        <v>46219</v>
      </c>
      <c r="E30" s="44"/>
      <c r="F30" s="46">
        <v>46225</v>
      </c>
      <c r="G30" s="44"/>
      <c r="H30" s="45" t="s">
        <v>97</v>
      </c>
      <c r="I30" s="4"/>
      <c r="J30" s="4"/>
    </row>
    <row r="31" spans="1:10" ht="15" customHeight="1">
      <c r="A31" s="35" t="s">
        <v>41</v>
      </c>
      <c r="B31" s="36" t="s">
        <v>42</v>
      </c>
      <c r="C31" s="43" t="s">
        <v>109</v>
      </c>
      <c r="D31" s="44" t="s">
        <v>131</v>
      </c>
      <c r="E31" s="44" t="s">
        <v>117</v>
      </c>
      <c r="F31" s="44" t="s">
        <v>132</v>
      </c>
      <c r="G31" s="44" t="s">
        <v>117</v>
      </c>
      <c r="H31" s="45" t="s">
        <v>97</v>
      </c>
      <c r="I31" s="4"/>
      <c r="J31" s="4"/>
    </row>
    <row r="32" spans="1:10" ht="15" customHeight="1">
      <c r="A32" s="35" t="s">
        <v>41</v>
      </c>
      <c r="B32" s="36" t="s">
        <v>42</v>
      </c>
      <c r="C32" s="43" t="s">
        <v>112</v>
      </c>
      <c r="D32" s="44" t="s">
        <v>132</v>
      </c>
      <c r="E32" s="44" t="s">
        <v>117</v>
      </c>
      <c r="F32" s="44" t="s">
        <v>132</v>
      </c>
      <c r="G32" s="44" t="s">
        <v>117</v>
      </c>
      <c r="H32" s="45" t="s">
        <v>97</v>
      </c>
      <c r="I32" s="4"/>
      <c r="J32" s="4"/>
    </row>
    <row r="33" spans="1:10" ht="15" customHeight="1">
      <c r="A33" s="35" t="s">
        <v>45</v>
      </c>
      <c r="B33" s="36" t="s">
        <v>47</v>
      </c>
      <c r="C33" s="32" t="s">
        <v>133</v>
      </c>
      <c r="D33" s="33" t="s">
        <v>118</v>
      </c>
      <c r="E33" s="33" t="s">
        <v>117</v>
      </c>
      <c r="F33" s="33" t="s">
        <v>134</v>
      </c>
      <c r="G33" s="33" t="s">
        <v>117</v>
      </c>
      <c r="H33" t="s">
        <v>97</v>
      </c>
      <c r="I33" s="4"/>
      <c r="J33" s="4"/>
    </row>
    <row r="34" spans="1:10" ht="15" customHeight="1">
      <c r="A34" s="35" t="s">
        <v>45</v>
      </c>
      <c r="B34" s="36" t="s">
        <v>47</v>
      </c>
      <c r="C34" s="32" t="s">
        <v>90</v>
      </c>
      <c r="D34" s="33" t="s">
        <v>93</v>
      </c>
      <c r="E34" s="33" t="s">
        <v>117</v>
      </c>
      <c r="F34" s="33" t="s">
        <v>135</v>
      </c>
      <c r="G34" s="33" t="s">
        <v>117</v>
      </c>
      <c r="H34" t="s">
        <v>97</v>
      </c>
      <c r="I34" s="4"/>
      <c r="J34" s="4"/>
    </row>
    <row r="35" spans="1:10" ht="15" customHeight="1">
      <c r="A35" s="35" t="s">
        <v>45</v>
      </c>
      <c r="B35" s="36" t="s">
        <v>47</v>
      </c>
      <c r="C35" s="32" t="s">
        <v>103</v>
      </c>
      <c r="D35" s="33" t="s">
        <v>136</v>
      </c>
      <c r="E35" s="33" t="s">
        <v>117</v>
      </c>
      <c r="F35" s="33" t="s">
        <v>137</v>
      </c>
      <c r="G35" s="33" t="s">
        <v>117</v>
      </c>
      <c r="H35" t="s">
        <v>97</v>
      </c>
      <c r="I35" s="4"/>
      <c r="J35" s="4"/>
    </row>
    <row r="36" spans="1:10" ht="15" customHeight="1">
      <c r="A36" s="35" t="s">
        <v>45</v>
      </c>
      <c r="B36" s="36" t="s">
        <v>47</v>
      </c>
      <c r="C36" s="32" t="s">
        <v>138</v>
      </c>
      <c r="D36" s="33" t="s">
        <v>139</v>
      </c>
      <c r="E36" s="33" t="s">
        <v>117</v>
      </c>
      <c r="F36" s="33" t="s">
        <v>140</v>
      </c>
      <c r="G36" s="33" t="s">
        <v>117</v>
      </c>
      <c r="H36" t="s">
        <v>97</v>
      </c>
      <c r="I36" s="4"/>
      <c r="J36" s="4"/>
    </row>
    <row r="37" spans="1:10" ht="15" customHeight="1">
      <c r="A37" s="35" t="s">
        <v>45</v>
      </c>
      <c r="B37" s="36" t="s">
        <v>47</v>
      </c>
      <c r="C37" s="32" t="s">
        <v>109</v>
      </c>
      <c r="D37" s="33" t="s">
        <v>141</v>
      </c>
      <c r="E37" s="33" t="s">
        <v>117</v>
      </c>
      <c r="F37" s="33" t="s">
        <v>142</v>
      </c>
      <c r="G37" s="33" t="s">
        <v>117</v>
      </c>
      <c r="H37" t="s">
        <v>97</v>
      </c>
      <c r="I37" s="4"/>
      <c r="J37" s="4"/>
    </row>
    <row r="38" spans="1:10" ht="15" customHeight="1">
      <c r="A38" s="35" t="s">
        <v>45</v>
      </c>
      <c r="B38" s="36" t="s">
        <v>47</v>
      </c>
      <c r="C38" s="32" t="s">
        <v>112</v>
      </c>
      <c r="D38" s="33" t="s">
        <v>142</v>
      </c>
      <c r="E38" s="33" t="s">
        <v>117</v>
      </c>
      <c r="F38" s="33" t="s">
        <v>142</v>
      </c>
      <c r="G38" s="33" t="s">
        <v>117</v>
      </c>
      <c r="H38" t="s">
        <v>97</v>
      </c>
      <c r="I38" s="4"/>
      <c r="J38" s="4"/>
    </row>
    <row r="39" spans="1:10" ht="15" customHeight="1">
      <c r="A39" s="35" t="s">
        <v>50</v>
      </c>
      <c r="B39" s="36" t="s">
        <v>51</v>
      </c>
      <c r="C39" s="32" t="s">
        <v>143</v>
      </c>
      <c r="D39" s="33" t="s">
        <v>144</v>
      </c>
      <c r="E39" s="33" t="s">
        <v>117</v>
      </c>
      <c r="F39" s="33" t="s">
        <v>145</v>
      </c>
      <c r="G39" s="33" t="s">
        <v>117</v>
      </c>
      <c r="H39" t="s">
        <v>97</v>
      </c>
      <c r="I39" s="4"/>
      <c r="J39" s="4"/>
    </row>
    <row r="40" spans="1:10" ht="15" customHeight="1">
      <c r="A40" s="35" t="s">
        <v>50</v>
      </c>
      <c r="B40" s="36" t="s">
        <v>51</v>
      </c>
      <c r="C40" s="32" t="s">
        <v>90</v>
      </c>
      <c r="D40" s="33" t="s">
        <v>146</v>
      </c>
      <c r="E40" s="33" t="s">
        <v>117</v>
      </c>
      <c r="F40" s="33" t="s">
        <v>124</v>
      </c>
      <c r="G40" s="33" t="s">
        <v>117</v>
      </c>
      <c r="H40" t="s">
        <v>97</v>
      </c>
      <c r="I40" s="4"/>
      <c r="J40" s="4"/>
    </row>
    <row r="41" spans="1:10" ht="15" customHeight="1">
      <c r="A41" s="35" t="s">
        <v>50</v>
      </c>
      <c r="B41" s="36" t="s">
        <v>51</v>
      </c>
      <c r="C41" s="32" t="s">
        <v>103</v>
      </c>
      <c r="D41" s="33" t="s">
        <v>140</v>
      </c>
      <c r="E41" s="33" t="s">
        <v>117</v>
      </c>
      <c r="F41" s="33" t="s">
        <v>147</v>
      </c>
      <c r="G41" s="33" t="s">
        <v>117</v>
      </c>
      <c r="H41" t="s">
        <v>97</v>
      </c>
      <c r="I41" s="4"/>
      <c r="J41" s="4"/>
    </row>
    <row r="42" spans="1:10" ht="15" customHeight="1">
      <c r="A42" s="35" t="s">
        <v>50</v>
      </c>
      <c r="B42" s="36" t="s">
        <v>51</v>
      </c>
      <c r="C42" s="32" t="s">
        <v>138</v>
      </c>
      <c r="D42" s="33" t="s">
        <v>148</v>
      </c>
      <c r="E42" s="33" t="s">
        <v>117</v>
      </c>
      <c r="F42" s="33" t="s">
        <v>107</v>
      </c>
      <c r="G42" s="33" t="s">
        <v>117</v>
      </c>
      <c r="H42" t="s">
        <v>97</v>
      </c>
      <c r="I42" s="4"/>
      <c r="J42" s="4"/>
    </row>
    <row r="43" spans="1:10" ht="15" customHeight="1">
      <c r="A43" s="35" t="s">
        <v>50</v>
      </c>
      <c r="B43" s="36" t="s">
        <v>51</v>
      </c>
      <c r="C43" s="32" t="s">
        <v>109</v>
      </c>
      <c r="D43" s="33" t="s">
        <v>107</v>
      </c>
      <c r="E43" s="33" t="s">
        <v>117</v>
      </c>
      <c r="F43" s="33" t="s">
        <v>128</v>
      </c>
      <c r="G43" s="33" t="s">
        <v>117</v>
      </c>
      <c r="H43" t="s">
        <v>97</v>
      </c>
      <c r="I43" s="4"/>
      <c r="J43" s="4"/>
    </row>
    <row r="44" spans="1:10" ht="15" customHeight="1">
      <c r="A44" s="35" t="s">
        <v>50</v>
      </c>
      <c r="B44" s="36" t="s">
        <v>51</v>
      </c>
      <c r="C44" s="32" t="s">
        <v>112</v>
      </c>
      <c r="D44" s="33" t="s">
        <v>128</v>
      </c>
      <c r="E44" s="33" t="s">
        <v>117</v>
      </c>
      <c r="F44" s="33" t="s">
        <v>128</v>
      </c>
      <c r="G44" s="33" t="s">
        <v>117</v>
      </c>
      <c r="H44" t="s">
        <v>97</v>
      </c>
      <c r="I44" s="4"/>
      <c r="J44" s="4"/>
    </row>
    <row r="45" spans="1:10" ht="15" customHeight="1">
      <c r="A45" s="35" t="s">
        <v>53</v>
      </c>
      <c r="B45" s="36" t="s">
        <v>54</v>
      </c>
      <c r="C45" s="32" t="s">
        <v>149</v>
      </c>
      <c r="D45" s="33" t="s">
        <v>150</v>
      </c>
      <c r="E45" s="33" t="s">
        <v>150</v>
      </c>
      <c r="F45" s="33" t="s">
        <v>118</v>
      </c>
      <c r="G45" s="33" t="s">
        <v>117</v>
      </c>
      <c r="H45" t="s">
        <v>86</v>
      </c>
      <c r="I45" s="4"/>
      <c r="J45" s="4"/>
    </row>
    <row r="46" spans="1:10" ht="15" customHeight="1">
      <c r="A46" s="35" t="s">
        <v>53</v>
      </c>
      <c r="B46" s="36" t="s">
        <v>54</v>
      </c>
      <c r="C46" s="32" t="s">
        <v>90</v>
      </c>
      <c r="D46" s="33" t="s">
        <v>151</v>
      </c>
      <c r="E46" s="33" t="s">
        <v>117</v>
      </c>
      <c r="F46" s="33" t="s">
        <v>152</v>
      </c>
      <c r="G46" s="33" t="s">
        <v>117</v>
      </c>
      <c r="H46" t="s">
        <v>97</v>
      </c>
      <c r="I46" s="4"/>
      <c r="J46" s="4"/>
    </row>
    <row r="47" spans="1:10" ht="15" customHeight="1">
      <c r="A47" s="35" t="s">
        <v>53</v>
      </c>
      <c r="B47" s="36" t="s">
        <v>54</v>
      </c>
      <c r="C47" s="32" t="s">
        <v>103</v>
      </c>
      <c r="D47" s="33" t="s">
        <v>153</v>
      </c>
      <c r="E47" s="33" t="s">
        <v>117</v>
      </c>
      <c r="F47" s="33" t="s">
        <v>145</v>
      </c>
      <c r="G47" s="33" t="s">
        <v>117</v>
      </c>
      <c r="H47" t="s">
        <v>97</v>
      </c>
      <c r="I47" s="4"/>
      <c r="J47" s="4"/>
    </row>
    <row r="48" spans="1:10" ht="15" customHeight="1">
      <c r="A48" s="35" t="s">
        <v>53</v>
      </c>
      <c r="B48" s="36" t="s">
        <v>54</v>
      </c>
      <c r="C48" s="32" t="s">
        <v>109</v>
      </c>
      <c r="D48" s="33" t="s">
        <v>154</v>
      </c>
      <c r="E48" s="33" t="s">
        <v>117</v>
      </c>
      <c r="F48" s="33" t="s">
        <v>120</v>
      </c>
      <c r="G48" s="33" t="s">
        <v>117</v>
      </c>
      <c r="H48" t="s">
        <v>97</v>
      </c>
      <c r="I48" s="4"/>
      <c r="J48" s="4"/>
    </row>
    <row r="49" spans="1:10" ht="15" customHeight="1">
      <c r="A49" s="35" t="s">
        <v>53</v>
      </c>
      <c r="B49" s="36" t="s">
        <v>54</v>
      </c>
      <c r="C49" s="32" t="s">
        <v>112</v>
      </c>
      <c r="D49" s="33" t="s">
        <v>120</v>
      </c>
      <c r="E49" s="33" t="s">
        <v>117</v>
      </c>
      <c r="F49" s="33" t="s">
        <v>120</v>
      </c>
      <c r="G49" s="33" t="s">
        <v>117</v>
      </c>
      <c r="H49" t="s">
        <v>97</v>
      </c>
      <c r="I49" s="4"/>
      <c r="J49" s="4"/>
    </row>
    <row r="50" spans="1:10" ht="15" customHeight="1">
      <c r="A50" s="35" t="s">
        <v>55</v>
      </c>
      <c r="B50" s="36" t="s">
        <v>155</v>
      </c>
      <c r="C50" s="36" t="s">
        <v>40</v>
      </c>
      <c r="D50" s="40"/>
      <c r="E50" s="40"/>
      <c r="F50" s="40"/>
      <c r="G50" s="40"/>
      <c r="H50" s="36"/>
      <c r="I50" s="4"/>
      <c r="J50" s="4"/>
    </row>
    <row r="51" spans="1:10" ht="15" customHeight="1">
      <c r="A51" s="35" t="s">
        <v>55</v>
      </c>
      <c r="B51" s="36" t="s">
        <v>155</v>
      </c>
      <c r="C51" s="36" t="s">
        <v>156</v>
      </c>
      <c r="D51" s="40"/>
      <c r="E51" s="40"/>
      <c r="F51" s="40"/>
      <c r="G51" s="40"/>
      <c r="H51" s="36"/>
      <c r="I51" s="4"/>
      <c r="J51" s="4"/>
    </row>
    <row r="52" spans="1:10" ht="15" customHeight="1">
      <c r="A52" s="35" t="s">
        <v>55</v>
      </c>
      <c r="B52" s="36" t="s">
        <v>155</v>
      </c>
      <c r="C52" s="36" t="s">
        <v>157</v>
      </c>
      <c r="D52" s="40"/>
      <c r="E52" s="40"/>
      <c r="F52" s="40"/>
      <c r="G52" s="40"/>
      <c r="H52" s="36"/>
      <c r="I52" s="4"/>
      <c r="J52" s="4"/>
    </row>
    <row r="53" spans="1:10" ht="15" customHeight="1">
      <c r="A53" s="35" t="s">
        <v>55</v>
      </c>
      <c r="B53" s="36" t="s">
        <v>155</v>
      </c>
      <c r="C53" s="36" t="s">
        <v>158</v>
      </c>
      <c r="D53" s="40"/>
      <c r="E53" s="40"/>
      <c r="F53" s="40"/>
      <c r="G53" s="40"/>
      <c r="H53" s="36"/>
      <c r="I53" s="4"/>
      <c r="J53" s="4"/>
    </row>
    <row r="54" spans="1:10" ht="15" customHeight="1">
      <c r="A54" s="35" t="s">
        <v>55</v>
      </c>
      <c r="B54" s="36" t="s">
        <v>155</v>
      </c>
      <c r="C54" s="36" t="s">
        <v>159</v>
      </c>
      <c r="D54" s="40"/>
      <c r="E54" s="40"/>
      <c r="F54" s="40"/>
      <c r="G54" s="40"/>
      <c r="H54" s="36"/>
      <c r="I54" s="4"/>
      <c r="J54" s="4"/>
    </row>
    <row r="55" spans="1:10">
      <c r="A55" s="35" t="s">
        <v>58</v>
      </c>
      <c r="B55" s="36" t="s">
        <v>59</v>
      </c>
      <c r="C55" s="32" t="s">
        <v>160</v>
      </c>
      <c r="D55" s="33" t="s">
        <v>100</v>
      </c>
      <c r="E55" s="33" t="s">
        <v>117</v>
      </c>
      <c r="F55" s="33" t="s">
        <v>140</v>
      </c>
      <c r="G55" s="33" t="s">
        <v>117</v>
      </c>
      <c r="H55" t="s">
        <v>97</v>
      </c>
    </row>
    <row r="56" spans="1:10">
      <c r="A56" s="35" t="s">
        <v>58</v>
      </c>
      <c r="B56" s="36" t="s">
        <v>59</v>
      </c>
      <c r="C56" s="32" t="s">
        <v>90</v>
      </c>
      <c r="D56" s="33" t="s">
        <v>148</v>
      </c>
      <c r="E56" s="33" t="s">
        <v>117</v>
      </c>
      <c r="F56" s="33" t="s">
        <v>132</v>
      </c>
      <c r="G56" s="33" t="s">
        <v>117</v>
      </c>
      <c r="H56" t="s">
        <v>97</v>
      </c>
    </row>
    <row r="57" spans="1:10">
      <c r="A57" s="35" t="s">
        <v>58</v>
      </c>
      <c r="B57" s="36" t="s">
        <v>59</v>
      </c>
      <c r="C57" s="32" t="s">
        <v>103</v>
      </c>
      <c r="D57" s="33" t="s">
        <v>161</v>
      </c>
      <c r="E57" s="33" t="s">
        <v>117</v>
      </c>
      <c r="F57" s="33" t="s">
        <v>162</v>
      </c>
      <c r="G57" s="33" t="s">
        <v>117</v>
      </c>
      <c r="H57" t="s">
        <v>97</v>
      </c>
    </row>
    <row r="58" spans="1:10">
      <c r="A58" s="35" t="s">
        <v>58</v>
      </c>
      <c r="B58" s="36" t="s">
        <v>59</v>
      </c>
      <c r="C58" s="32" t="s">
        <v>138</v>
      </c>
      <c r="D58" s="33" t="s">
        <v>163</v>
      </c>
      <c r="E58" s="33" t="s">
        <v>117</v>
      </c>
      <c r="F58" s="33" t="s">
        <v>164</v>
      </c>
      <c r="G58" s="33" t="s">
        <v>117</v>
      </c>
      <c r="H58" t="s">
        <v>97</v>
      </c>
    </row>
    <row r="59" spans="1:10">
      <c r="A59" s="35" t="s">
        <v>58</v>
      </c>
      <c r="B59" s="36" t="s">
        <v>59</v>
      </c>
      <c r="C59" s="32" t="s">
        <v>109</v>
      </c>
      <c r="D59" s="33" t="s">
        <v>164</v>
      </c>
      <c r="E59" s="33" t="s">
        <v>117</v>
      </c>
      <c r="F59" s="33" t="s">
        <v>165</v>
      </c>
      <c r="G59" s="33" t="s">
        <v>117</v>
      </c>
      <c r="H59" t="s">
        <v>97</v>
      </c>
    </row>
    <row r="60" spans="1:10">
      <c r="A60" s="35" t="s">
        <v>58</v>
      </c>
      <c r="B60" s="36" t="s">
        <v>59</v>
      </c>
      <c r="C60" s="32" t="s">
        <v>112</v>
      </c>
      <c r="D60" s="33" t="s">
        <v>165</v>
      </c>
      <c r="E60" s="33" t="s">
        <v>117</v>
      </c>
      <c r="F60" s="33" t="s">
        <v>165</v>
      </c>
      <c r="G60" s="33" t="s">
        <v>117</v>
      </c>
      <c r="H60" t="s">
        <v>97</v>
      </c>
    </row>
    <row r="61" spans="1:10">
      <c r="A61" s="35" t="s">
        <v>60</v>
      </c>
      <c r="B61" s="36" t="s">
        <v>61</v>
      </c>
      <c r="C61" s="32" t="s">
        <v>166</v>
      </c>
      <c r="D61" s="33" t="s">
        <v>136</v>
      </c>
      <c r="E61" s="33" t="s">
        <v>117</v>
      </c>
      <c r="F61" s="33" t="s">
        <v>107</v>
      </c>
      <c r="G61" s="33" t="s">
        <v>117</v>
      </c>
      <c r="H61" t="s">
        <v>97</v>
      </c>
    </row>
    <row r="62" spans="1:10">
      <c r="A62" s="35" t="s">
        <v>60</v>
      </c>
      <c r="B62" s="36" t="s">
        <v>61</v>
      </c>
      <c r="C62" s="32" t="s">
        <v>90</v>
      </c>
      <c r="D62" s="33" t="s">
        <v>167</v>
      </c>
      <c r="E62" s="33" t="s">
        <v>117</v>
      </c>
      <c r="F62" s="33" t="s">
        <v>168</v>
      </c>
      <c r="G62" s="33" t="s">
        <v>117</v>
      </c>
      <c r="H62" t="s">
        <v>97</v>
      </c>
    </row>
    <row r="63" spans="1:10">
      <c r="A63" s="35" t="s">
        <v>60</v>
      </c>
      <c r="B63" s="36" t="s">
        <v>61</v>
      </c>
      <c r="C63" s="32" t="s">
        <v>103</v>
      </c>
      <c r="D63" s="33" t="s">
        <v>169</v>
      </c>
      <c r="E63" s="33" t="s">
        <v>117</v>
      </c>
      <c r="F63" s="33" t="s">
        <v>170</v>
      </c>
      <c r="G63" s="33" t="s">
        <v>117</v>
      </c>
      <c r="H63" t="s">
        <v>97</v>
      </c>
    </row>
    <row r="64" spans="1:10">
      <c r="A64" s="35" t="s">
        <v>60</v>
      </c>
      <c r="B64" s="36" t="s">
        <v>61</v>
      </c>
      <c r="C64" s="32" t="s">
        <v>138</v>
      </c>
      <c r="D64" s="33" t="s">
        <v>171</v>
      </c>
      <c r="E64" s="33" t="s">
        <v>117</v>
      </c>
      <c r="F64" s="33" t="s">
        <v>172</v>
      </c>
      <c r="G64" s="33" t="s">
        <v>117</v>
      </c>
      <c r="H64" t="s">
        <v>97</v>
      </c>
    </row>
    <row r="65" spans="1:8">
      <c r="A65" s="35" t="s">
        <v>60</v>
      </c>
      <c r="B65" s="36" t="s">
        <v>61</v>
      </c>
      <c r="C65" s="32" t="s">
        <v>109</v>
      </c>
      <c r="D65" s="33" t="s">
        <v>172</v>
      </c>
      <c r="E65" s="33" t="s">
        <v>117</v>
      </c>
      <c r="F65" s="33" t="s">
        <v>173</v>
      </c>
      <c r="G65" s="33" t="s">
        <v>117</v>
      </c>
      <c r="H65" t="s">
        <v>97</v>
      </c>
    </row>
    <row r="66" spans="1:8">
      <c r="A66" s="35" t="s">
        <v>60</v>
      </c>
      <c r="B66" s="36" t="s">
        <v>61</v>
      </c>
      <c r="C66" s="32" t="s">
        <v>112</v>
      </c>
      <c r="D66" s="33" t="s">
        <v>173</v>
      </c>
      <c r="E66" s="33" t="s">
        <v>117</v>
      </c>
      <c r="F66" s="33" t="s">
        <v>173</v>
      </c>
      <c r="G66" s="33" t="s">
        <v>117</v>
      </c>
      <c r="H66" t="s">
        <v>97</v>
      </c>
    </row>
    <row r="67" spans="1:8">
      <c r="A67" s="35" t="s">
        <v>62</v>
      </c>
      <c r="B67" s="36" t="s">
        <v>63</v>
      </c>
      <c r="C67" s="32" t="s">
        <v>40</v>
      </c>
      <c r="D67" s="33" t="s">
        <v>150</v>
      </c>
      <c r="E67" s="33" t="s">
        <v>150</v>
      </c>
      <c r="F67" s="33" t="s">
        <v>174</v>
      </c>
      <c r="G67" s="33" t="s">
        <v>117</v>
      </c>
      <c r="H67" t="s">
        <v>86</v>
      </c>
    </row>
    <row r="68" spans="1:8">
      <c r="A68" s="35" t="s">
        <v>62</v>
      </c>
      <c r="B68" s="36" t="s">
        <v>63</v>
      </c>
      <c r="C68" s="32" t="s">
        <v>90</v>
      </c>
      <c r="D68" s="33" t="s">
        <v>85</v>
      </c>
      <c r="E68" s="33" t="s">
        <v>117</v>
      </c>
      <c r="F68" s="33" t="s">
        <v>153</v>
      </c>
      <c r="G68" s="33" t="s">
        <v>117</v>
      </c>
      <c r="H68" t="s">
        <v>97</v>
      </c>
    </row>
    <row r="69" spans="1:8">
      <c r="A69" s="35" t="s">
        <v>62</v>
      </c>
      <c r="B69" s="36" t="s">
        <v>63</v>
      </c>
      <c r="C69" s="32" t="s">
        <v>103</v>
      </c>
      <c r="D69" s="33" t="s">
        <v>175</v>
      </c>
      <c r="E69" s="33" t="s">
        <v>117</v>
      </c>
      <c r="F69" s="33" t="s">
        <v>176</v>
      </c>
      <c r="G69" s="33" t="s">
        <v>117</v>
      </c>
      <c r="H69" t="s">
        <v>97</v>
      </c>
    </row>
    <row r="70" spans="1:8">
      <c r="A70" s="35" t="s">
        <v>62</v>
      </c>
      <c r="B70" s="36" t="s">
        <v>63</v>
      </c>
      <c r="C70" s="32" t="s">
        <v>106</v>
      </c>
      <c r="D70" s="33" t="s">
        <v>177</v>
      </c>
      <c r="E70" s="33" t="s">
        <v>117</v>
      </c>
      <c r="F70" s="33" t="s">
        <v>120</v>
      </c>
      <c r="G70" s="33" t="s">
        <v>117</v>
      </c>
      <c r="H70" t="s">
        <v>97</v>
      </c>
    </row>
    <row r="71" spans="1:8">
      <c r="A71" s="35" t="s">
        <v>62</v>
      </c>
      <c r="B71" s="36" t="s">
        <v>63</v>
      </c>
      <c r="C71" s="32" t="s">
        <v>109</v>
      </c>
      <c r="D71" s="33" t="s">
        <v>120</v>
      </c>
      <c r="E71" s="33" t="s">
        <v>117</v>
      </c>
      <c r="F71" s="33" t="s">
        <v>100</v>
      </c>
      <c r="G71" s="33" t="s">
        <v>117</v>
      </c>
      <c r="H71" t="s">
        <v>97</v>
      </c>
    </row>
    <row r="72" spans="1:8">
      <c r="A72" s="35" t="s">
        <v>62</v>
      </c>
      <c r="B72" s="36" t="s">
        <v>63</v>
      </c>
      <c r="C72" s="32" t="s">
        <v>112</v>
      </c>
      <c r="D72" s="33" t="s">
        <v>100</v>
      </c>
      <c r="E72" s="33" t="s">
        <v>117</v>
      </c>
      <c r="F72" s="33" t="s">
        <v>100</v>
      </c>
      <c r="G72" s="33" t="s">
        <v>117</v>
      </c>
      <c r="H72" t="s">
        <v>97</v>
      </c>
    </row>
    <row r="73" spans="1:8">
      <c r="A73" s="35" t="s">
        <v>65</v>
      </c>
      <c r="B73" s="34" t="s">
        <v>66</v>
      </c>
      <c r="C73" s="32" t="s">
        <v>178</v>
      </c>
      <c r="D73" s="33" t="s">
        <v>152</v>
      </c>
      <c r="E73" s="33" t="s">
        <v>117</v>
      </c>
      <c r="F73" s="33" t="s">
        <v>104</v>
      </c>
      <c r="G73" s="33" t="s">
        <v>117</v>
      </c>
      <c r="H73" t="s">
        <v>97</v>
      </c>
    </row>
    <row r="74" spans="1:8">
      <c r="A74" s="35" t="s">
        <v>65</v>
      </c>
      <c r="B74" s="34" t="s">
        <v>66</v>
      </c>
      <c r="C74" s="32" t="s">
        <v>90</v>
      </c>
      <c r="D74" s="33" t="s">
        <v>104</v>
      </c>
      <c r="E74" s="33" t="s">
        <v>117</v>
      </c>
      <c r="F74" s="33" t="s">
        <v>128</v>
      </c>
      <c r="G74" s="33" t="s">
        <v>117</v>
      </c>
      <c r="H74" t="s">
        <v>97</v>
      </c>
    </row>
    <row r="75" spans="1:8">
      <c r="A75" s="35" t="s">
        <v>65</v>
      </c>
      <c r="B75" s="34" t="s">
        <v>66</v>
      </c>
      <c r="C75" s="32" t="s">
        <v>103</v>
      </c>
      <c r="D75" s="33" t="s">
        <v>128</v>
      </c>
      <c r="E75" s="33" t="s">
        <v>117</v>
      </c>
      <c r="F75" s="33" t="s">
        <v>111</v>
      </c>
      <c r="G75" s="33" t="s">
        <v>117</v>
      </c>
      <c r="H75" t="s">
        <v>97</v>
      </c>
    </row>
    <row r="76" spans="1:8">
      <c r="A76" s="35" t="s">
        <v>65</v>
      </c>
      <c r="B76" s="34" t="s">
        <v>66</v>
      </c>
      <c r="C76" s="32" t="s">
        <v>138</v>
      </c>
      <c r="D76" s="33" t="s">
        <v>179</v>
      </c>
      <c r="E76" s="33" t="s">
        <v>117</v>
      </c>
      <c r="F76" s="33" t="s">
        <v>180</v>
      </c>
      <c r="G76" s="33" t="s">
        <v>117</v>
      </c>
      <c r="H76" t="s">
        <v>97</v>
      </c>
    </row>
    <row r="77" spans="1:8">
      <c r="A77" s="35" t="s">
        <v>65</v>
      </c>
      <c r="B77" s="34" t="s">
        <v>66</v>
      </c>
      <c r="C77" s="32" t="s">
        <v>109</v>
      </c>
      <c r="D77" s="33" t="s">
        <v>162</v>
      </c>
      <c r="E77" s="33" t="s">
        <v>117</v>
      </c>
      <c r="F77" s="33" t="s">
        <v>181</v>
      </c>
      <c r="G77" s="33" t="s">
        <v>117</v>
      </c>
      <c r="H77" t="s">
        <v>97</v>
      </c>
    </row>
    <row r="78" spans="1:8">
      <c r="A78" s="35" t="s">
        <v>65</v>
      </c>
      <c r="B78" s="34" t="s">
        <v>66</v>
      </c>
      <c r="C78" s="32" t="s">
        <v>112</v>
      </c>
      <c r="D78" s="33" t="s">
        <v>181</v>
      </c>
      <c r="E78" s="33" t="s">
        <v>117</v>
      </c>
      <c r="F78" s="33" t="s">
        <v>181</v>
      </c>
      <c r="G78" s="33" t="s">
        <v>117</v>
      </c>
      <c r="H78" t="s">
        <v>97</v>
      </c>
    </row>
    <row r="79" spans="1:8">
      <c r="A79" s="35" t="s">
        <v>67</v>
      </c>
      <c r="B79" s="34" t="s">
        <v>68</v>
      </c>
      <c r="C79" s="32" t="s">
        <v>182</v>
      </c>
      <c r="D79" s="33" t="s">
        <v>183</v>
      </c>
      <c r="E79" s="33" t="s">
        <v>117</v>
      </c>
      <c r="F79" s="33" t="s">
        <v>184</v>
      </c>
      <c r="G79" s="33" t="s">
        <v>117</v>
      </c>
      <c r="H79" t="s">
        <v>97</v>
      </c>
    </row>
    <row r="80" spans="1:8">
      <c r="A80" s="35" t="s">
        <v>67</v>
      </c>
      <c r="B80" s="34" t="s">
        <v>68</v>
      </c>
      <c r="C80" s="32" t="s">
        <v>90</v>
      </c>
      <c r="D80" s="33" t="s">
        <v>185</v>
      </c>
      <c r="E80" s="33" t="s">
        <v>117</v>
      </c>
      <c r="F80" s="33" t="s">
        <v>186</v>
      </c>
      <c r="G80" s="33" t="s">
        <v>117</v>
      </c>
      <c r="H80" t="s">
        <v>97</v>
      </c>
    </row>
    <row r="81" spans="1:8">
      <c r="A81" s="35" t="s">
        <v>67</v>
      </c>
      <c r="B81" s="34" t="s">
        <v>68</v>
      </c>
      <c r="C81" s="32" t="s">
        <v>103</v>
      </c>
      <c r="D81" s="33" t="s">
        <v>186</v>
      </c>
      <c r="E81" s="33" t="s">
        <v>117</v>
      </c>
      <c r="F81" s="33" t="s">
        <v>187</v>
      </c>
      <c r="G81" s="33" t="s">
        <v>117</v>
      </c>
      <c r="H81" t="s">
        <v>97</v>
      </c>
    </row>
    <row r="82" spans="1:8">
      <c r="A82" s="35" t="s">
        <v>67</v>
      </c>
      <c r="B82" s="34" t="s">
        <v>68</v>
      </c>
      <c r="C82" s="32" t="s">
        <v>138</v>
      </c>
      <c r="D82" s="33" t="s">
        <v>188</v>
      </c>
      <c r="E82" s="33" t="s">
        <v>117</v>
      </c>
      <c r="F82" s="33" t="s">
        <v>189</v>
      </c>
      <c r="G82" s="33" t="s">
        <v>117</v>
      </c>
      <c r="H82" t="s">
        <v>97</v>
      </c>
    </row>
    <row r="83" spans="1:8">
      <c r="A83" s="35" t="s">
        <v>67</v>
      </c>
      <c r="B83" s="34" t="s">
        <v>68</v>
      </c>
      <c r="C83" s="32" t="s">
        <v>109</v>
      </c>
      <c r="D83" s="33" t="s">
        <v>190</v>
      </c>
      <c r="E83" s="33" t="s">
        <v>117</v>
      </c>
      <c r="F83" s="33" t="s">
        <v>191</v>
      </c>
      <c r="G83" s="33" t="s">
        <v>117</v>
      </c>
      <c r="H83" t="s">
        <v>97</v>
      </c>
    </row>
    <row r="84" spans="1:8">
      <c r="A84" s="35" t="s">
        <v>67</v>
      </c>
      <c r="B84" s="34" t="s">
        <v>68</v>
      </c>
      <c r="C84" s="32" t="s">
        <v>112</v>
      </c>
      <c r="D84" s="33" t="s">
        <v>191</v>
      </c>
      <c r="E84" s="33" t="s">
        <v>117</v>
      </c>
      <c r="F84" s="33" t="s">
        <v>191</v>
      </c>
      <c r="G84" t="s">
        <v>117</v>
      </c>
      <c r="H84" t="s">
        <v>97</v>
      </c>
    </row>
    <row r="85" spans="1:8">
      <c r="A85" s="35" t="s">
        <v>69</v>
      </c>
      <c r="B85" s="34" t="s">
        <v>70</v>
      </c>
      <c r="C85" s="32" t="s">
        <v>192</v>
      </c>
      <c r="D85" s="42">
        <v>46216</v>
      </c>
      <c r="F85" s="42">
        <v>46248</v>
      </c>
      <c r="G85" s="33" t="s">
        <v>117</v>
      </c>
      <c r="H85" t="s">
        <v>97</v>
      </c>
    </row>
    <row r="86" spans="1:8">
      <c r="A86" s="35" t="s">
        <v>69</v>
      </c>
      <c r="B86" s="34" t="s">
        <v>70</v>
      </c>
      <c r="C86" s="32" t="s">
        <v>90</v>
      </c>
      <c r="D86" s="33" t="s">
        <v>165</v>
      </c>
      <c r="E86" s="33" t="s">
        <v>117</v>
      </c>
      <c r="F86" s="33" t="s">
        <v>193</v>
      </c>
      <c r="G86" s="33" t="s">
        <v>117</v>
      </c>
      <c r="H86" t="s">
        <v>97</v>
      </c>
    </row>
    <row r="87" spans="1:8">
      <c r="A87" s="35" t="s">
        <v>69</v>
      </c>
      <c r="B87" s="34" t="s">
        <v>70</v>
      </c>
      <c r="C87" s="32" t="s">
        <v>103</v>
      </c>
      <c r="D87" s="33" t="s">
        <v>183</v>
      </c>
      <c r="E87" s="33" t="s">
        <v>117</v>
      </c>
      <c r="F87" s="33" t="s">
        <v>194</v>
      </c>
      <c r="G87" s="33" t="s">
        <v>117</v>
      </c>
      <c r="H87" t="s">
        <v>97</v>
      </c>
    </row>
    <row r="88" spans="1:8">
      <c r="A88" s="35" t="s">
        <v>69</v>
      </c>
      <c r="B88" s="34" t="s">
        <v>70</v>
      </c>
      <c r="C88" s="32" t="s">
        <v>138</v>
      </c>
      <c r="D88" s="33" t="s">
        <v>195</v>
      </c>
      <c r="E88" s="33" t="s">
        <v>117</v>
      </c>
      <c r="F88" s="33" t="s">
        <v>196</v>
      </c>
      <c r="G88" s="33" t="s">
        <v>117</v>
      </c>
      <c r="H88" t="s">
        <v>97</v>
      </c>
    </row>
    <row r="89" spans="1:8">
      <c r="A89" s="35" t="s">
        <v>69</v>
      </c>
      <c r="B89" s="34" t="s">
        <v>70</v>
      </c>
      <c r="C89" s="32" t="s">
        <v>109</v>
      </c>
      <c r="D89" s="33" t="s">
        <v>195</v>
      </c>
      <c r="E89" s="33" t="s">
        <v>117</v>
      </c>
      <c r="F89" s="33" t="s">
        <v>197</v>
      </c>
      <c r="G89" s="33" t="s">
        <v>117</v>
      </c>
      <c r="H89" t="s">
        <v>97</v>
      </c>
    </row>
    <row r="90" spans="1:8">
      <c r="A90" s="35" t="s">
        <v>69</v>
      </c>
      <c r="B90" s="34" t="s">
        <v>70</v>
      </c>
      <c r="C90" s="32" t="s">
        <v>112</v>
      </c>
      <c r="D90" s="33" t="s">
        <v>197</v>
      </c>
      <c r="E90" s="33" t="s">
        <v>117</v>
      </c>
      <c r="F90" s="33" t="s">
        <v>197</v>
      </c>
      <c r="G90" s="33" t="s">
        <v>117</v>
      </c>
      <c r="H90" t="s">
        <v>97</v>
      </c>
    </row>
    <row r="91" spans="1:8">
      <c r="A91" s="45" t="s">
        <v>71</v>
      </c>
      <c r="B91" s="45" t="s">
        <v>72</v>
      </c>
      <c r="C91" s="36" t="s">
        <v>198</v>
      </c>
      <c r="D91" s="46">
        <v>46037</v>
      </c>
      <c r="E91" s="46">
        <v>46037</v>
      </c>
      <c r="F91" s="46">
        <v>46042</v>
      </c>
      <c r="G91" s="46">
        <v>46042</v>
      </c>
      <c r="H91" s="45" t="s">
        <v>74</v>
      </c>
    </row>
    <row r="92" spans="1:8">
      <c r="A92" s="45" t="s">
        <v>71</v>
      </c>
      <c r="B92" s="45" t="s">
        <v>72</v>
      </c>
      <c r="C92" s="36" t="s">
        <v>199</v>
      </c>
      <c r="D92" s="46">
        <v>46042</v>
      </c>
      <c r="E92" s="46">
        <v>46042</v>
      </c>
      <c r="F92" s="46">
        <v>46048</v>
      </c>
      <c r="G92" s="46">
        <v>46048</v>
      </c>
      <c r="H92" s="45" t="s">
        <v>74</v>
      </c>
    </row>
    <row r="93" spans="1:8">
      <c r="A93" s="45" t="s">
        <v>71</v>
      </c>
      <c r="B93" s="45" t="s">
        <v>72</v>
      </c>
      <c r="C93" s="36" t="s">
        <v>200</v>
      </c>
      <c r="D93" s="46">
        <v>46049</v>
      </c>
      <c r="E93" s="46">
        <v>46049</v>
      </c>
      <c r="F93" s="46">
        <v>46056</v>
      </c>
      <c r="G93" s="46">
        <v>46056</v>
      </c>
      <c r="H93" s="45" t="s">
        <v>74</v>
      </c>
    </row>
    <row r="94" spans="1:8">
      <c r="A94" s="45" t="s">
        <v>71</v>
      </c>
      <c r="B94" s="45" t="s">
        <v>72</v>
      </c>
      <c r="C94" s="36" t="s">
        <v>201</v>
      </c>
      <c r="D94" s="46">
        <v>46057</v>
      </c>
      <c r="E94" s="46">
        <v>46057</v>
      </c>
      <c r="F94" s="46">
        <v>46064</v>
      </c>
      <c r="G94" s="46">
        <v>46064</v>
      </c>
      <c r="H94" s="45" t="s">
        <v>74</v>
      </c>
    </row>
    <row r="95" spans="1:8">
      <c r="A95" s="45" t="s">
        <v>71</v>
      </c>
      <c r="B95" s="45" t="s">
        <v>72</v>
      </c>
      <c r="C95" s="36" t="s">
        <v>202</v>
      </c>
      <c r="D95" s="46">
        <v>46064</v>
      </c>
      <c r="E95" s="46">
        <v>46064</v>
      </c>
      <c r="F95" s="46">
        <v>46069</v>
      </c>
      <c r="G95" s="46">
        <v>46069</v>
      </c>
      <c r="H95" s="45" t="s">
        <v>74</v>
      </c>
    </row>
    <row r="96" spans="1:8">
      <c r="A96" s="45"/>
      <c r="B96" s="45"/>
      <c r="C96" s="45"/>
      <c r="D96" s="44"/>
      <c r="E96" s="44"/>
      <c r="F96" s="44"/>
      <c r="G96" s="44"/>
      <c r="H96" s="45"/>
    </row>
    <row r="97" spans="1:8">
      <c r="A97" s="45"/>
      <c r="B97" s="45"/>
      <c r="C97" s="45"/>
      <c r="D97" s="44"/>
      <c r="E97" s="44"/>
      <c r="F97" s="44"/>
      <c r="G97" s="44"/>
      <c r="H97" s="45"/>
    </row>
    <row r="98" spans="1:8">
      <c r="A98" s="45"/>
      <c r="B98" s="45"/>
      <c r="C98" s="45"/>
      <c r="D98" s="44"/>
      <c r="E98" s="44"/>
      <c r="F98" s="44"/>
      <c r="G98" s="44"/>
      <c r="H98" s="45"/>
    </row>
    <row r="99" spans="1:8">
      <c r="A99" s="45"/>
      <c r="B99" s="45"/>
      <c r="C99" s="45"/>
      <c r="D99" s="44"/>
      <c r="E99" s="44"/>
      <c r="F99" s="44"/>
      <c r="G99" s="44"/>
      <c r="H99" s="45"/>
    </row>
    <row r="100" spans="1:8">
      <c r="A100" s="45"/>
      <c r="B100" s="45"/>
      <c r="C100" s="45"/>
      <c r="D100" s="44"/>
      <c r="E100" s="44"/>
      <c r="F100" s="44"/>
      <c r="G100" s="44"/>
      <c r="H100" s="45"/>
    </row>
    <row r="101" spans="1:8">
      <c r="A101" s="45"/>
      <c r="B101" s="45"/>
      <c r="C101" s="45"/>
      <c r="D101" s="44"/>
      <c r="E101" s="44"/>
      <c r="F101" s="44"/>
      <c r="G101" s="44"/>
      <c r="H101" s="45"/>
    </row>
    <row r="102" spans="1:8">
      <c r="A102" s="45"/>
      <c r="B102" s="45"/>
      <c r="C102" s="45"/>
      <c r="D102" s="44"/>
      <c r="E102" s="44"/>
      <c r="F102" s="44"/>
      <c r="G102" s="44"/>
      <c r="H102" s="45"/>
    </row>
    <row r="103" spans="1:8">
      <c r="A103" s="45"/>
      <c r="B103" s="45"/>
      <c r="C103" s="45"/>
      <c r="D103" s="44"/>
      <c r="E103" s="44"/>
      <c r="F103" s="44"/>
      <c r="G103" s="44"/>
      <c r="H103" s="45"/>
    </row>
    <row r="104" spans="1:8">
      <c r="A104" s="45"/>
      <c r="B104" s="45"/>
      <c r="C104" s="45"/>
      <c r="D104" s="44"/>
      <c r="E104" s="44"/>
      <c r="F104" s="44"/>
      <c r="G104" s="44"/>
      <c r="H104" s="45"/>
    </row>
    <row r="105" spans="1:8">
      <c r="A105" s="45"/>
      <c r="B105" s="45"/>
      <c r="C105" s="45"/>
      <c r="D105" s="44"/>
      <c r="E105" s="44"/>
      <c r="F105" s="44"/>
      <c r="G105" s="44"/>
      <c r="H105" s="45"/>
    </row>
    <row r="106" spans="1:8">
      <c r="A106" s="45"/>
      <c r="B106" s="45"/>
      <c r="C106" s="45"/>
      <c r="D106" s="44"/>
      <c r="E106" s="44"/>
      <c r="F106" s="44"/>
      <c r="G106" s="44"/>
      <c r="H106" s="45"/>
    </row>
    <row r="107" spans="1:8">
      <c r="A107" s="45"/>
      <c r="B107" s="45"/>
      <c r="C107" s="45"/>
      <c r="D107" s="44"/>
      <c r="E107" s="44"/>
      <c r="F107" s="44"/>
      <c r="G107" s="44"/>
      <c r="H107" s="45"/>
    </row>
    <row r="108" spans="1:8">
      <c r="A108" s="45"/>
      <c r="B108" s="45"/>
      <c r="C108" s="45"/>
      <c r="D108" s="44"/>
      <c r="E108" s="44"/>
      <c r="F108" s="44"/>
      <c r="G108" s="44"/>
      <c r="H108" s="45"/>
    </row>
    <row r="109" spans="1:8">
      <c r="A109" s="45"/>
      <c r="B109" s="45"/>
      <c r="C109" s="45"/>
      <c r="D109" s="44"/>
      <c r="E109" s="44"/>
      <c r="F109" s="44"/>
      <c r="G109" s="44"/>
      <c r="H109" s="45"/>
    </row>
    <row r="110" spans="1:8">
      <c r="A110" s="45"/>
      <c r="B110" s="45"/>
      <c r="C110" s="45"/>
      <c r="D110" s="44"/>
      <c r="E110" s="44"/>
      <c r="F110" s="44"/>
      <c r="G110" s="44"/>
      <c r="H110" s="45"/>
    </row>
    <row r="111" spans="1:8">
      <c r="A111" s="45"/>
      <c r="B111" s="45"/>
      <c r="C111" s="45"/>
      <c r="D111" s="44"/>
      <c r="E111" s="44"/>
      <c r="F111" s="44"/>
      <c r="G111" s="44"/>
      <c r="H111" s="45"/>
    </row>
    <row r="112" spans="1:8">
      <c r="A112" s="45"/>
      <c r="B112" s="45"/>
      <c r="C112" s="45"/>
      <c r="D112" s="44"/>
      <c r="E112" s="44"/>
      <c r="F112" s="44"/>
      <c r="G112" s="44"/>
      <c r="H112" s="45"/>
    </row>
  </sheetData>
  <autoFilter ref="A1:F5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B981"/>
  </sheetPr>
  <dimension ref="A1:I11"/>
  <sheetViews>
    <sheetView zoomScaleNormal="100" workbookViewId="0">
      <pane ySplit="2" topLeftCell="A14" activePane="bottomLeft" state="frozen"/>
      <selection pane="bottomLeft" activeCell="I22" sqref="I22"/>
    </sheetView>
  </sheetViews>
  <sheetFormatPr defaultColWidth="8.5703125" defaultRowHeight="14.45"/>
  <cols>
    <col min="1" max="1" width="17" customWidth="1"/>
    <col min="2" max="2" width="13.140625" customWidth="1"/>
    <col min="3" max="3" width="12" customWidth="1"/>
    <col min="4" max="7" width="19.5703125" customWidth="1"/>
    <col min="8" max="8" width="13.140625" customWidth="1"/>
    <col min="9" max="9" width="28.7109375" customWidth="1"/>
  </cols>
  <sheetData>
    <row r="1" spans="1:9" ht="14.25" customHeight="1">
      <c r="A1" s="5" t="s">
        <v>76</v>
      </c>
      <c r="B1" s="5" t="s">
        <v>8</v>
      </c>
      <c r="C1" s="5" t="s">
        <v>203</v>
      </c>
      <c r="D1" s="5" t="s">
        <v>204</v>
      </c>
      <c r="E1" s="5" t="s">
        <v>40</v>
      </c>
      <c r="F1" s="5" t="s">
        <v>36</v>
      </c>
      <c r="G1" s="5" t="s">
        <v>205</v>
      </c>
      <c r="H1" s="5" t="s">
        <v>75</v>
      </c>
      <c r="I1" s="5" t="s">
        <v>206</v>
      </c>
    </row>
    <row r="2" spans="1:9" ht="48" customHeight="1">
      <c r="A2" s="9" t="s">
        <v>207</v>
      </c>
      <c r="B2" s="9" t="s">
        <v>18</v>
      </c>
      <c r="C2" s="9" t="s">
        <v>208</v>
      </c>
      <c r="D2" s="9" t="s">
        <v>209</v>
      </c>
      <c r="E2" s="9" t="s">
        <v>210</v>
      </c>
      <c r="F2" s="9" t="s">
        <v>210</v>
      </c>
      <c r="G2" s="9" t="s">
        <v>210</v>
      </c>
      <c r="H2" s="9" t="s">
        <v>210</v>
      </c>
      <c r="I2" s="9" t="s">
        <v>211</v>
      </c>
    </row>
    <row r="3" spans="1:9" ht="23.85" customHeight="1">
      <c r="A3" s="10" t="s">
        <v>26</v>
      </c>
      <c r="B3" s="10" t="s">
        <v>212</v>
      </c>
      <c r="C3" s="10" t="s">
        <v>59</v>
      </c>
      <c r="D3" s="10" t="s">
        <v>75</v>
      </c>
      <c r="E3" s="10" t="s">
        <v>74</v>
      </c>
      <c r="F3" s="10" t="s">
        <v>74</v>
      </c>
      <c r="G3" s="10" t="s">
        <v>74</v>
      </c>
      <c r="H3" s="10" t="s">
        <v>74</v>
      </c>
      <c r="I3" s="13" t="s">
        <v>213</v>
      </c>
    </row>
    <row r="4" spans="1:9" ht="23.85" customHeight="1">
      <c r="A4" s="10" t="s">
        <v>26</v>
      </c>
      <c r="B4" s="10" t="s">
        <v>27</v>
      </c>
      <c r="C4" s="10" t="s">
        <v>27</v>
      </c>
      <c r="D4" s="10" t="s">
        <v>40</v>
      </c>
      <c r="E4" s="10" t="s">
        <v>214</v>
      </c>
      <c r="F4" s="10" t="s">
        <v>215</v>
      </c>
      <c r="G4" s="10" t="s">
        <v>215</v>
      </c>
      <c r="H4" s="10" t="s">
        <v>215</v>
      </c>
      <c r="I4" s="13" t="s">
        <v>216</v>
      </c>
    </row>
    <row r="5" spans="1:9" ht="23.85" customHeight="1">
      <c r="A5" s="10" t="s">
        <v>217</v>
      </c>
      <c r="B5" s="10" t="s">
        <v>33</v>
      </c>
      <c r="C5" s="10" t="s">
        <v>33</v>
      </c>
      <c r="D5" s="10" t="s">
        <v>40</v>
      </c>
      <c r="E5" s="10" t="s">
        <v>214</v>
      </c>
      <c r="F5" s="10" t="s">
        <v>215</v>
      </c>
      <c r="G5" s="10" t="s">
        <v>215</v>
      </c>
      <c r="H5" s="10" t="s">
        <v>215</v>
      </c>
      <c r="I5" s="13" t="s">
        <v>218</v>
      </c>
    </row>
    <row r="6" spans="1:9" ht="35.1" customHeight="1">
      <c r="A6" s="10" t="s">
        <v>32</v>
      </c>
      <c r="B6" s="10" t="s">
        <v>38</v>
      </c>
      <c r="C6" s="10" t="s">
        <v>38</v>
      </c>
      <c r="D6" s="10" t="s">
        <v>40</v>
      </c>
      <c r="E6" s="10" t="s">
        <v>214</v>
      </c>
      <c r="F6" s="10" t="s">
        <v>215</v>
      </c>
      <c r="G6" s="10" t="s">
        <v>215</v>
      </c>
      <c r="H6" s="10" t="s">
        <v>215</v>
      </c>
      <c r="I6" s="13" t="s">
        <v>218</v>
      </c>
    </row>
    <row r="7" spans="1:9" ht="35.1" customHeight="1">
      <c r="A7" s="10" t="s">
        <v>37</v>
      </c>
      <c r="B7" s="10" t="s">
        <v>42</v>
      </c>
      <c r="C7" s="10" t="s">
        <v>42</v>
      </c>
      <c r="D7" s="10" t="s">
        <v>49</v>
      </c>
      <c r="E7" s="10" t="s">
        <v>215</v>
      </c>
      <c r="F7" s="10" t="s">
        <v>215</v>
      </c>
      <c r="G7" s="10" t="s">
        <v>215</v>
      </c>
      <c r="H7" s="10" t="s">
        <v>215</v>
      </c>
      <c r="I7" s="13" t="s">
        <v>219</v>
      </c>
    </row>
    <row r="8" spans="1:9" ht="35.1" customHeight="1">
      <c r="A8" s="10" t="s">
        <v>41</v>
      </c>
      <c r="B8" s="10" t="s">
        <v>47</v>
      </c>
      <c r="C8" s="10" t="s">
        <v>47</v>
      </c>
      <c r="D8" s="10" t="s">
        <v>49</v>
      </c>
      <c r="E8" s="10" t="s">
        <v>215</v>
      </c>
      <c r="F8" s="10" t="s">
        <v>215</v>
      </c>
      <c r="G8" s="10" t="s">
        <v>215</v>
      </c>
      <c r="H8" s="10" t="s">
        <v>215</v>
      </c>
      <c r="I8" s="13" t="s">
        <v>219</v>
      </c>
    </row>
    <row r="9" spans="1:9" ht="23.85" customHeight="1">
      <c r="A9" s="10" t="s">
        <v>45</v>
      </c>
      <c r="B9" s="10" t="s">
        <v>51</v>
      </c>
      <c r="C9" s="10" t="s">
        <v>51</v>
      </c>
      <c r="D9" s="10" t="s">
        <v>49</v>
      </c>
      <c r="E9" s="10" t="s">
        <v>215</v>
      </c>
      <c r="F9" s="10" t="s">
        <v>215</v>
      </c>
      <c r="G9" s="10" t="s">
        <v>215</v>
      </c>
      <c r="H9" s="10" t="s">
        <v>215</v>
      </c>
      <c r="I9" s="13" t="s">
        <v>220</v>
      </c>
    </row>
    <row r="10" spans="1:9" ht="23.85" customHeight="1">
      <c r="A10" s="10" t="s">
        <v>50</v>
      </c>
      <c r="B10" s="10" t="s">
        <v>54</v>
      </c>
      <c r="C10" s="10" t="s">
        <v>54</v>
      </c>
      <c r="D10" s="10" t="s">
        <v>49</v>
      </c>
      <c r="E10" s="10" t="s">
        <v>215</v>
      </c>
      <c r="F10" s="10" t="s">
        <v>215</v>
      </c>
      <c r="G10" s="10" t="s">
        <v>215</v>
      </c>
      <c r="H10" s="10" t="s">
        <v>215</v>
      </c>
      <c r="I10" s="13" t="s">
        <v>220</v>
      </c>
    </row>
    <row r="11" spans="1:9" ht="23.85" customHeight="1">
      <c r="A11" s="10" t="s">
        <v>55</v>
      </c>
      <c r="B11" s="13" t="s">
        <v>56</v>
      </c>
      <c r="C11" s="13" t="s">
        <v>56</v>
      </c>
      <c r="D11" s="10" t="s">
        <v>49</v>
      </c>
      <c r="E11" s="10" t="s">
        <v>215</v>
      </c>
      <c r="F11" s="10" t="s">
        <v>215</v>
      </c>
      <c r="G11" s="10" t="s">
        <v>215</v>
      </c>
      <c r="H11" s="10" t="s">
        <v>215</v>
      </c>
      <c r="I11" s="13" t="s">
        <v>221</v>
      </c>
    </row>
  </sheetData>
  <autoFilter ref="A1:H1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L17"/>
  <sheetViews>
    <sheetView zoomScaleNormal="100" workbookViewId="0">
      <pane ySplit="2" topLeftCell="A3" activePane="bottomLeft" state="frozen"/>
      <selection pane="bottomLeft" activeCell="D3" sqref="D3"/>
    </sheetView>
  </sheetViews>
  <sheetFormatPr defaultColWidth="8.5703125" defaultRowHeight="14.45"/>
  <cols>
    <col min="1" max="2" width="12" customWidth="1"/>
    <col min="3" max="3" width="15.7109375" customWidth="1"/>
    <col min="4" max="4" width="28.7109375" customWidth="1"/>
    <col min="5" max="6" width="17" customWidth="1"/>
    <col min="7" max="7" width="15.7109375" customWidth="1"/>
    <col min="8" max="8" width="26.140625" customWidth="1"/>
    <col min="9" max="9" width="18.28515625" customWidth="1"/>
    <col min="10" max="11" width="12" customWidth="1"/>
    <col min="12" max="12" width="21.28515625" customWidth="1"/>
  </cols>
  <sheetData>
    <row r="1" spans="1:12" ht="26.85" customHeight="1">
      <c r="A1" s="5" t="s">
        <v>7</v>
      </c>
      <c r="B1" s="5" t="s">
        <v>222</v>
      </c>
      <c r="C1" s="5" t="s">
        <v>223</v>
      </c>
      <c r="D1" s="5" t="s">
        <v>224</v>
      </c>
      <c r="E1" s="5" t="s">
        <v>225</v>
      </c>
      <c r="F1" s="5" t="s">
        <v>226</v>
      </c>
      <c r="G1" s="5" t="s">
        <v>227</v>
      </c>
      <c r="H1" s="5" t="s">
        <v>228</v>
      </c>
      <c r="I1" s="5" t="s">
        <v>10</v>
      </c>
      <c r="J1" s="5" t="s">
        <v>11</v>
      </c>
      <c r="K1" s="5" t="s">
        <v>229</v>
      </c>
      <c r="L1" s="53" t="s">
        <v>230</v>
      </c>
    </row>
    <row r="2" spans="1:12" ht="48" customHeight="1">
      <c r="A2" s="9" t="s">
        <v>18</v>
      </c>
      <c r="B2" s="9" t="s">
        <v>231</v>
      </c>
      <c r="C2" s="9" t="s">
        <v>232</v>
      </c>
      <c r="D2" s="9" t="s">
        <v>19</v>
      </c>
      <c r="E2" s="9" t="s">
        <v>233</v>
      </c>
      <c r="F2" s="9" t="s">
        <v>234</v>
      </c>
      <c r="G2" s="9" t="s">
        <v>235</v>
      </c>
      <c r="H2" s="9" t="s">
        <v>236</v>
      </c>
      <c r="I2" s="9" t="s">
        <v>211</v>
      </c>
      <c r="J2" s="9" t="s">
        <v>237</v>
      </c>
      <c r="K2" s="9" t="s">
        <v>25</v>
      </c>
      <c r="L2" s="9" t="s">
        <v>25</v>
      </c>
    </row>
    <row r="3" spans="1:12" ht="35.1" customHeight="1">
      <c r="A3" s="20" t="s">
        <v>238</v>
      </c>
      <c r="B3" s="54" t="s">
        <v>239</v>
      </c>
      <c r="C3" s="54" t="s">
        <v>240</v>
      </c>
      <c r="D3" s="54" t="s">
        <v>241</v>
      </c>
      <c r="E3" s="54" t="s">
        <v>242</v>
      </c>
      <c r="F3" s="54" t="s">
        <v>242</v>
      </c>
      <c r="G3" s="54" t="s">
        <v>242</v>
      </c>
      <c r="H3" s="54" t="s">
        <v>242</v>
      </c>
      <c r="I3" s="54" t="s">
        <v>73</v>
      </c>
      <c r="J3" s="54" t="s">
        <v>74</v>
      </c>
      <c r="K3" s="26" t="s">
        <v>243</v>
      </c>
      <c r="L3" s="26" t="s">
        <v>243</v>
      </c>
    </row>
    <row r="4" spans="1:12" ht="24.75" customHeight="1">
      <c r="A4" s="20" t="s">
        <v>244</v>
      </c>
      <c r="B4" s="54" t="s">
        <v>239</v>
      </c>
      <c r="C4" s="10" t="s">
        <v>245</v>
      </c>
      <c r="D4" s="10"/>
      <c r="E4" s="10"/>
      <c r="F4" s="10"/>
      <c r="G4" s="10"/>
      <c r="H4" s="10"/>
      <c r="I4" s="54" t="s">
        <v>73</v>
      </c>
      <c r="J4" s="54" t="s">
        <v>74</v>
      </c>
      <c r="K4" s="26" t="s">
        <v>246</v>
      </c>
      <c r="L4" s="26" t="s">
        <v>246</v>
      </c>
    </row>
    <row r="5" spans="1:12" ht="24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55"/>
    </row>
    <row r="6" spans="1:12" ht="24.7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55"/>
    </row>
    <row r="7" spans="1:12" ht="46.3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55"/>
    </row>
    <row r="8" spans="1:12" ht="57.6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56"/>
    </row>
    <row r="9" spans="1:12" ht="57.6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56"/>
    </row>
    <row r="10" spans="1:12" ht="68.650000000000006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55"/>
    </row>
    <row r="11" spans="1:12" ht="79.900000000000006" customHeight="1">
      <c r="A11" s="13"/>
      <c r="B11" s="13"/>
      <c r="C11" s="13"/>
      <c r="D11" s="13"/>
      <c r="E11" s="13"/>
      <c r="F11" s="13"/>
      <c r="G11" s="13"/>
      <c r="H11" s="13"/>
      <c r="I11" s="13"/>
      <c r="J11" s="20"/>
      <c r="K11" s="21"/>
      <c r="L11" s="55"/>
    </row>
    <row r="12" spans="1:12" ht="46.35" customHeight="1">
      <c r="A12" s="13"/>
      <c r="B12" s="13"/>
      <c r="C12" s="13"/>
      <c r="D12" s="13"/>
      <c r="E12" s="13"/>
      <c r="F12" s="13"/>
      <c r="G12" s="13"/>
      <c r="H12" s="13"/>
      <c r="I12" s="13"/>
      <c r="J12" s="20"/>
      <c r="K12" s="21"/>
      <c r="L12" s="22"/>
    </row>
    <row r="13" spans="1:12">
      <c r="L13" s="22"/>
    </row>
    <row r="14" spans="1:12">
      <c r="L14" s="22"/>
    </row>
    <row r="15" spans="1:12">
      <c r="L15" s="22"/>
    </row>
    <row r="16" spans="1:12">
      <c r="L16" s="22"/>
    </row>
    <row r="17" spans="12:12">
      <c r="L17" s="22"/>
    </row>
  </sheetData>
  <autoFilter ref="A1:K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C3AED"/>
  </sheetPr>
  <dimension ref="A1:H97"/>
  <sheetViews>
    <sheetView zoomScaleNormal="100" workbookViewId="0">
      <selection activeCell="B55" sqref="B55"/>
    </sheetView>
  </sheetViews>
  <sheetFormatPr defaultColWidth="15.5703125" defaultRowHeight="14.45"/>
  <cols>
    <col min="1" max="1" width="16" customWidth="1"/>
    <col min="2" max="2" width="26.28515625" customWidth="1"/>
    <col min="3" max="3" width="22.140625" customWidth="1"/>
    <col min="4" max="4" width="21.85546875" customWidth="1"/>
    <col min="5" max="5" width="23" bestFit="1" customWidth="1"/>
    <col min="7" max="7" width="17.85546875" customWidth="1"/>
    <col min="8" max="8" width="44" customWidth="1"/>
  </cols>
  <sheetData>
    <row r="1" spans="1:8">
      <c r="A1" s="5" t="s">
        <v>247</v>
      </c>
      <c r="B1" s="5" t="s">
        <v>248</v>
      </c>
      <c r="C1" s="5" t="s">
        <v>211</v>
      </c>
      <c r="D1" s="5" t="s">
        <v>249</v>
      </c>
      <c r="E1" s="5" t="s">
        <v>9</v>
      </c>
      <c r="F1" s="57" t="s">
        <v>250</v>
      </c>
      <c r="G1" s="57" t="s">
        <v>8</v>
      </c>
      <c r="H1" s="57" t="s">
        <v>251</v>
      </c>
    </row>
    <row r="2" spans="1:8" ht="60">
      <c r="A2" s="9" t="s">
        <v>252</v>
      </c>
      <c r="B2" s="9" t="s">
        <v>253</v>
      </c>
      <c r="C2" s="9" t="s">
        <v>254</v>
      </c>
      <c r="D2" s="9" t="s">
        <v>255</v>
      </c>
      <c r="E2" s="9" t="s">
        <v>256</v>
      </c>
      <c r="F2" s="58" t="s">
        <v>257</v>
      </c>
      <c r="G2" s="58" t="s">
        <v>258</v>
      </c>
    </row>
    <row r="3" spans="1:8" ht="24.95">
      <c r="A3" s="10" t="s">
        <v>259</v>
      </c>
      <c r="B3" s="10" t="s">
        <v>260</v>
      </c>
      <c r="C3" s="10" t="s">
        <v>261</v>
      </c>
      <c r="D3" s="10" t="s">
        <v>262</v>
      </c>
      <c r="E3" s="10" t="s">
        <v>263</v>
      </c>
      <c r="F3" s="56" t="s">
        <v>264</v>
      </c>
      <c r="G3" s="56" t="s">
        <v>265</v>
      </c>
    </row>
    <row r="4" spans="1:8">
      <c r="A4" s="10" t="s">
        <v>266</v>
      </c>
      <c r="B4" s="10" t="s">
        <v>267</v>
      </c>
      <c r="C4" s="10" t="s">
        <v>268</v>
      </c>
      <c r="D4" s="10" t="s">
        <v>269</v>
      </c>
      <c r="E4" s="10" t="s">
        <v>34</v>
      </c>
      <c r="F4" s="56" t="s">
        <v>264</v>
      </c>
      <c r="G4" s="56" t="s">
        <v>265</v>
      </c>
      <c r="H4" s="29" t="s">
        <v>270</v>
      </c>
    </row>
    <row r="5" spans="1:8" ht="24.95">
      <c r="A5" s="10" t="s">
        <v>266</v>
      </c>
      <c r="B5" s="10" t="s">
        <v>267</v>
      </c>
      <c r="C5" s="10" t="s">
        <v>271</v>
      </c>
      <c r="D5" s="10" t="s">
        <v>272</v>
      </c>
      <c r="E5" s="10" t="s">
        <v>273</v>
      </c>
      <c r="F5" s="56" t="s">
        <v>264</v>
      </c>
      <c r="G5" s="56" t="s">
        <v>265</v>
      </c>
      <c r="H5" s="29" t="s">
        <v>274</v>
      </c>
    </row>
    <row r="6" spans="1:8">
      <c r="A6" s="10" t="s">
        <v>266</v>
      </c>
      <c r="B6" s="10" t="s">
        <v>267</v>
      </c>
      <c r="C6" s="10" t="s">
        <v>275</v>
      </c>
      <c r="D6" s="10" t="s">
        <v>276</v>
      </c>
      <c r="E6" s="10" t="s">
        <v>277</v>
      </c>
      <c r="F6" s="56" t="s">
        <v>264</v>
      </c>
      <c r="G6" s="56" t="s">
        <v>265</v>
      </c>
      <c r="H6" s="29" t="s">
        <v>278</v>
      </c>
    </row>
    <row r="7" spans="1:8" ht="16.5">
      <c r="A7" s="10" t="s">
        <v>266</v>
      </c>
      <c r="B7" s="10" t="s">
        <v>267</v>
      </c>
      <c r="C7" s="10" t="s">
        <v>279</v>
      </c>
      <c r="D7" s="10" t="s">
        <v>280</v>
      </c>
      <c r="E7" s="10" t="s">
        <v>281</v>
      </c>
      <c r="F7" s="56" t="s">
        <v>264</v>
      </c>
      <c r="G7" s="56" t="s">
        <v>265</v>
      </c>
      <c r="H7" s="28" t="s">
        <v>282</v>
      </c>
    </row>
    <row r="8" spans="1:8" ht="24.95">
      <c r="A8" s="10" t="s">
        <v>283</v>
      </c>
      <c r="B8" s="10" t="s">
        <v>284</v>
      </c>
      <c r="C8" s="10" t="s">
        <v>285</v>
      </c>
      <c r="D8" s="10" t="s">
        <v>286</v>
      </c>
      <c r="E8" s="13" t="s">
        <v>39</v>
      </c>
      <c r="F8" s="56" t="s">
        <v>264</v>
      </c>
      <c r="G8" s="56" t="s">
        <v>265</v>
      </c>
      <c r="H8" s="29" t="s">
        <v>287</v>
      </c>
    </row>
    <row r="9" spans="1:8" ht="24.95">
      <c r="A9" s="10" t="s">
        <v>283</v>
      </c>
      <c r="B9" s="10" t="s">
        <v>284</v>
      </c>
      <c r="C9" s="10" t="s">
        <v>35</v>
      </c>
      <c r="D9" s="10" t="s">
        <v>284</v>
      </c>
      <c r="E9" s="10" t="s">
        <v>277</v>
      </c>
      <c r="F9" s="56" t="s">
        <v>264</v>
      </c>
      <c r="G9" s="56" t="s">
        <v>265</v>
      </c>
      <c r="H9" s="29" t="s">
        <v>288</v>
      </c>
    </row>
    <row r="10" spans="1:8" ht="24.95">
      <c r="A10" s="10" t="s">
        <v>283</v>
      </c>
      <c r="B10" s="10" t="s">
        <v>289</v>
      </c>
      <c r="C10" s="10" t="s">
        <v>29</v>
      </c>
      <c r="D10" s="10" t="s">
        <v>290</v>
      </c>
      <c r="E10" s="10" t="s">
        <v>277</v>
      </c>
      <c r="F10" s="56" t="s">
        <v>264</v>
      </c>
      <c r="G10" s="56" t="s">
        <v>265</v>
      </c>
      <c r="H10" s="28" t="s">
        <v>291</v>
      </c>
    </row>
    <row r="11" spans="1:8" ht="24.95">
      <c r="A11" s="10" t="s">
        <v>283</v>
      </c>
      <c r="B11" s="10" t="s">
        <v>284</v>
      </c>
      <c r="C11" s="10" t="s">
        <v>292</v>
      </c>
      <c r="D11" s="10" t="s">
        <v>293</v>
      </c>
      <c r="E11" s="10" t="s">
        <v>294</v>
      </c>
      <c r="F11" s="56" t="s">
        <v>294</v>
      </c>
      <c r="G11" s="56" t="s">
        <v>265</v>
      </c>
      <c r="H11" s="29" t="s">
        <v>295</v>
      </c>
    </row>
    <row r="12" spans="1:8" ht="24.95">
      <c r="A12" s="10" t="s">
        <v>283</v>
      </c>
      <c r="B12" s="10" t="s">
        <v>284</v>
      </c>
      <c r="C12" s="10" t="s">
        <v>296</v>
      </c>
      <c r="D12" s="10" t="s">
        <v>284</v>
      </c>
      <c r="E12" s="13" t="s">
        <v>297</v>
      </c>
      <c r="F12" s="13" t="s">
        <v>297</v>
      </c>
      <c r="G12" s="56" t="s">
        <v>265</v>
      </c>
      <c r="H12" s="29" t="s">
        <v>298</v>
      </c>
    </row>
    <row r="13" spans="1:8" ht="24.95">
      <c r="A13" s="10" t="s">
        <v>299</v>
      </c>
      <c r="B13" s="10" t="s">
        <v>300</v>
      </c>
      <c r="C13" s="10" t="s">
        <v>301</v>
      </c>
      <c r="D13" s="10" t="s">
        <v>300</v>
      </c>
      <c r="E13" s="10" t="s">
        <v>277</v>
      </c>
      <c r="F13" s="56" t="s">
        <v>264</v>
      </c>
      <c r="G13" s="56" t="s">
        <v>265</v>
      </c>
      <c r="H13" s="28" t="s">
        <v>302</v>
      </c>
    </row>
    <row r="14" spans="1:8" ht="24.95">
      <c r="A14" s="10" t="s">
        <v>299</v>
      </c>
      <c r="B14" s="10" t="s">
        <v>303</v>
      </c>
      <c r="C14" s="10" t="s">
        <v>304</v>
      </c>
      <c r="D14" s="10" t="s">
        <v>303</v>
      </c>
      <c r="E14" s="10" t="s">
        <v>277</v>
      </c>
      <c r="F14" s="56" t="s">
        <v>264</v>
      </c>
      <c r="G14" s="56" t="s">
        <v>265</v>
      </c>
      <c r="H14" s="29" t="s">
        <v>305</v>
      </c>
    </row>
    <row r="15" spans="1:8">
      <c r="A15" s="10" t="s">
        <v>306</v>
      </c>
      <c r="B15" s="10" t="s">
        <v>307</v>
      </c>
      <c r="C15" s="10"/>
      <c r="D15" s="10" t="s">
        <v>307</v>
      </c>
      <c r="E15" s="10" t="s">
        <v>277</v>
      </c>
      <c r="F15" s="56" t="s">
        <v>264</v>
      </c>
      <c r="G15" s="56" t="s">
        <v>265</v>
      </c>
      <c r="H15" s="29" t="s">
        <v>308</v>
      </c>
    </row>
    <row r="16" spans="1:8">
      <c r="A16" s="10" t="s">
        <v>306</v>
      </c>
      <c r="B16" s="10"/>
      <c r="C16" s="10" t="s">
        <v>266</v>
      </c>
      <c r="D16" s="10"/>
      <c r="E16" s="10"/>
      <c r="F16" s="56" t="s">
        <v>264</v>
      </c>
      <c r="G16" s="56" t="s">
        <v>265</v>
      </c>
    </row>
    <row r="17" spans="1:8">
      <c r="A17" s="10" t="s">
        <v>306</v>
      </c>
      <c r="B17" s="10"/>
      <c r="C17" s="10" t="s">
        <v>309</v>
      </c>
      <c r="D17" s="10"/>
      <c r="E17" s="10"/>
      <c r="F17" s="56" t="s">
        <v>264</v>
      </c>
      <c r="G17" s="56" t="s">
        <v>265</v>
      </c>
    </row>
    <row r="18" spans="1:8">
      <c r="A18" s="23"/>
      <c r="B18" s="23"/>
      <c r="C18" s="23"/>
      <c r="D18" s="23"/>
      <c r="E18" s="23"/>
      <c r="F18" s="56"/>
      <c r="G18" s="56"/>
    </row>
    <row r="19" spans="1:8" ht="24.95">
      <c r="A19" s="10" t="s">
        <v>310</v>
      </c>
      <c r="B19" s="10" t="s">
        <v>311</v>
      </c>
      <c r="C19" s="10" t="s">
        <v>312</v>
      </c>
      <c r="D19" s="10" t="s">
        <v>313</v>
      </c>
      <c r="E19" s="10" t="s">
        <v>314</v>
      </c>
      <c r="F19" s="56" t="s">
        <v>264</v>
      </c>
      <c r="G19" s="56" t="s">
        <v>26</v>
      </c>
      <c r="H19" s="29" t="s">
        <v>315</v>
      </c>
    </row>
    <row r="20" spans="1:8" ht="26.25" customHeight="1">
      <c r="A20" s="10" t="s">
        <v>310</v>
      </c>
      <c r="B20" s="10" t="s">
        <v>316</v>
      </c>
      <c r="C20" s="10" t="s">
        <v>317</v>
      </c>
      <c r="D20" s="10" t="s">
        <v>318</v>
      </c>
      <c r="E20" s="10" t="s">
        <v>314</v>
      </c>
      <c r="F20" s="56" t="s">
        <v>264</v>
      </c>
      <c r="G20" s="56" t="s">
        <v>26</v>
      </c>
      <c r="H20" s="30" t="s">
        <v>319</v>
      </c>
    </row>
    <row r="21" spans="1:8">
      <c r="A21" s="23"/>
      <c r="B21" s="23"/>
      <c r="C21" s="23"/>
      <c r="D21" s="23"/>
      <c r="E21" s="23"/>
      <c r="F21" s="56"/>
      <c r="G21" s="56"/>
    </row>
    <row r="22" spans="1:8" ht="24.95">
      <c r="A22" s="10" t="s">
        <v>310</v>
      </c>
      <c r="B22" s="10" t="s">
        <v>316</v>
      </c>
      <c r="C22" s="27" t="s">
        <v>320</v>
      </c>
      <c r="D22" s="10" t="s">
        <v>321</v>
      </c>
      <c r="E22" s="10" t="s">
        <v>281</v>
      </c>
      <c r="F22" s="56" t="s">
        <v>264</v>
      </c>
      <c r="G22" s="56" t="s">
        <v>26</v>
      </c>
      <c r="H22" s="29" t="s">
        <v>322</v>
      </c>
    </row>
    <row r="23" spans="1:8" ht="24.95">
      <c r="A23" s="10" t="s">
        <v>310</v>
      </c>
      <c r="B23" s="10" t="s">
        <v>311</v>
      </c>
      <c r="C23" s="27" t="s">
        <v>323</v>
      </c>
      <c r="D23" s="10" t="s">
        <v>324</v>
      </c>
      <c r="E23" s="10" t="s">
        <v>281</v>
      </c>
      <c r="F23" s="56" t="s">
        <v>264</v>
      </c>
      <c r="G23" s="56" t="s">
        <v>26</v>
      </c>
      <c r="H23" s="29" t="s">
        <v>325</v>
      </c>
    </row>
    <row r="24" spans="1:8">
      <c r="A24" s="10" t="s">
        <v>310</v>
      </c>
      <c r="B24" s="10" t="s">
        <v>311</v>
      </c>
      <c r="C24" s="27" t="s">
        <v>326</v>
      </c>
      <c r="D24" s="10" t="s">
        <v>327</v>
      </c>
      <c r="E24" s="10" t="s">
        <v>281</v>
      </c>
      <c r="F24" s="56" t="s">
        <v>264</v>
      </c>
      <c r="G24" s="56" t="s">
        <v>26</v>
      </c>
      <c r="H24" s="29" t="s">
        <v>328</v>
      </c>
    </row>
    <row r="25" spans="1:8">
      <c r="A25" s="10" t="s">
        <v>310</v>
      </c>
      <c r="B25" s="10" t="s">
        <v>329</v>
      </c>
      <c r="C25" s="27" t="s">
        <v>330</v>
      </c>
      <c r="D25" s="10" t="s">
        <v>329</v>
      </c>
      <c r="E25" s="56" t="s">
        <v>297</v>
      </c>
      <c r="F25" s="56" t="s">
        <v>297</v>
      </c>
      <c r="G25" s="56" t="s">
        <v>26</v>
      </c>
      <c r="H25" s="31" t="s">
        <v>331</v>
      </c>
    </row>
    <row r="26" spans="1:8">
      <c r="A26" s="10" t="s">
        <v>310</v>
      </c>
      <c r="B26" s="10" t="s">
        <v>332</v>
      </c>
      <c r="C26" s="27" t="s">
        <v>333</v>
      </c>
      <c r="D26" s="10" t="s">
        <v>332</v>
      </c>
      <c r="E26" s="10" t="s">
        <v>277</v>
      </c>
      <c r="F26" s="56" t="s">
        <v>264</v>
      </c>
      <c r="G26" s="56" t="s">
        <v>26</v>
      </c>
      <c r="H26" s="29" t="s">
        <v>334</v>
      </c>
    </row>
    <row r="27" spans="1:8">
      <c r="A27" s="10" t="s">
        <v>310</v>
      </c>
      <c r="B27" s="10" t="s">
        <v>335</v>
      </c>
      <c r="C27" s="10" t="s">
        <v>336</v>
      </c>
      <c r="D27" s="10" t="s">
        <v>335</v>
      </c>
      <c r="E27" s="56" t="s">
        <v>294</v>
      </c>
      <c r="F27" s="56" t="s">
        <v>294</v>
      </c>
      <c r="G27" s="56" t="s">
        <v>26</v>
      </c>
      <c r="H27" s="29" t="s">
        <v>337</v>
      </c>
    </row>
    <row r="28" spans="1:8">
      <c r="A28" s="10" t="s">
        <v>310</v>
      </c>
      <c r="B28" s="10" t="s">
        <v>338</v>
      </c>
      <c r="C28" s="10" t="s">
        <v>292</v>
      </c>
      <c r="D28" s="10" t="s">
        <v>338</v>
      </c>
      <c r="E28" s="56" t="s">
        <v>294</v>
      </c>
      <c r="F28" s="56" t="s">
        <v>294</v>
      </c>
      <c r="G28" s="56" t="s">
        <v>26</v>
      </c>
      <c r="H28" s="29" t="s">
        <v>295</v>
      </c>
    </row>
    <row r="29" spans="1:8">
      <c r="A29" s="10" t="s">
        <v>310</v>
      </c>
      <c r="B29" s="10" t="s">
        <v>335</v>
      </c>
      <c r="C29" s="10" t="s">
        <v>339</v>
      </c>
      <c r="D29" s="10" t="s">
        <v>340</v>
      </c>
      <c r="E29" s="56" t="s">
        <v>294</v>
      </c>
      <c r="F29" s="56" t="s">
        <v>294</v>
      </c>
      <c r="G29" s="56" t="s">
        <v>26</v>
      </c>
      <c r="H29" s="29" t="s">
        <v>341</v>
      </c>
    </row>
    <row r="30" spans="1:8">
      <c r="A30" s="59" t="s">
        <v>310</v>
      </c>
      <c r="B30" s="60" t="s">
        <v>311</v>
      </c>
      <c r="C30" s="60" t="s">
        <v>342</v>
      </c>
      <c r="D30" s="60" t="s">
        <v>311</v>
      </c>
      <c r="E30" s="60" t="s">
        <v>343</v>
      </c>
      <c r="F30" s="61" t="s">
        <v>264</v>
      </c>
      <c r="G30" s="56" t="s">
        <v>26</v>
      </c>
      <c r="H30" t="s">
        <v>344</v>
      </c>
    </row>
    <row r="31" spans="1:8">
      <c r="A31" s="59" t="s">
        <v>310</v>
      </c>
      <c r="B31" s="60" t="s">
        <v>311</v>
      </c>
      <c r="C31" s="60" t="s">
        <v>345</v>
      </c>
      <c r="D31" s="60" t="s">
        <v>311</v>
      </c>
      <c r="E31" s="60" t="s">
        <v>343</v>
      </c>
      <c r="F31" s="61" t="s">
        <v>264</v>
      </c>
      <c r="G31" s="56" t="s">
        <v>26</v>
      </c>
      <c r="H31" t="s">
        <v>346</v>
      </c>
    </row>
    <row r="32" spans="1:8">
      <c r="A32" s="59" t="s">
        <v>310</v>
      </c>
      <c r="B32" s="60" t="s">
        <v>311</v>
      </c>
      <c r="C32" s="60" t="s">
        <v>347</v>
      </c>
      <c r="D32" s="60" t="s">
        <v>348</v>
      </c>
      <c r="E32" t="s">
        <v>281</v>
      </c>
      <c r="F32" s="61" t="s">
        <v>264</v>
      </c>
      <c r="G32" s="56" t="s">
        <v>26</v>
      </c>
      <c r="H32" s="29" t="s">
        <v>349</v>
      </c>
    </row>
    <row r="33" spans="1:8">
      <c r="A33" s="62" t="s">
        <v>310</v>
      </c>
      <c r="B33" s="62" t="s">
        <v>350</v>
      </c>
      <c r="C33" s="62" t="s">
        <v>351</v>
      </c>
      <c r="D33" s="62" t="s">
        <v>350</v>
      </c>
      <c r="E33" s="62" t="s">
        <v>352</v>
      </c>
      <c r="F33" s="63" t="s">
        <v>264</v>
      </c>
      <c r="G33" s="56" t="s">
        <v>26</v>
      </c>
      <c r="H33" t="s">
        <v>353</v>
      </c>
    </row>
    <row r="34" spans="1:8">
      <c r="A34" s="62" t="s">
        <v>310</v>
      </c>
      <c r="B34" s="62" t="s">
        <v>354</v>
      </c>
      <c r="C34" s="62" t="s">
        <v>355</v>
      </c>
      <c r="D34" s="62" t="s">
        <v>356</v>
      </c>
      <c r="E34" s="62" t="s">
        <v>352</v>
      </c>
      <c r="F34" s="63" t="s">
        <v>264</v>
      </c>
      <c r="G34" s="56" t="s">
        <v>26</v>
      </c>
      <c r="H34" t="s">
        <v>357</v>
      </c>
    </row>
    <row r="35" spans="1:8">
      <c r="A35" s="62" t="s">
        <v>310</v>
      </c>
      <c r="B35" s="62" t="s">
        <v>354</v>
      </c>
      <c r="C35" s="62" t="s">
        <v>358</v>
      </c>
      <c r="D35" s="62" t="s">
        <v>356</v>
      </c>
      <c r="E35" s="62" t="s">
        <v>359</v>
      </c>
      <c r="F35" s="63" t="s">
        <v>264</v>
      </c>
      <c r="G35" s="56" t="s">
        <v>26</v>
      </c>
      <c r="H35" t="s">
        <v>360</v>
      </c>
    </row>
    <row r="36" spans="1:8">
      <c r="A36" s="62" t="s">
        <v>310</v>
      </c>
      <c r="B36" s="62" t="s">
        <v>354</v>
      </c>
      <c r="C36" s="62" t="s">
        <v>361</v>
      </c>
      <c r="D36" s="62" t="s">
        <v>356</v>
      </c>
      <c r="E36" s="62" t="s">
        <v>359</v>
      </c>
      <c r="F36" s="63" t="s">
        <v>264</v>
      </c>
      <c r="G36" s="56" t="s">
        <v>26</v>
      </c>
      <c r="H36" t="s">
        <v>362</v>
      </c>
    </row>
    <row r="37" spans="1:8">
      <c r="A37" s="62" t="s">
        <v>310</v>
      </c>
      <c r="B37" s="62" t="s">
        <v>350</v>
      </c>
      <c r="C37" s="62" t="s">
        <v>363</v>
      </c>
      <c r="D37" s="62" t="s">
        <v>350</v>
      </c>
      <c r="E37" s="62" t="s">
        <v>364</v>
      </c>
      <c r="F37" s="63" t="s">
        <v>264</v>
      </c>
      <c r="G37" s="56" t="s">
        <v>26</v>
      </c>
      <c r="H37" t="s">
        <v>365</v>
      </c>
    </row>
    <row r="38" spans="1:8">
      <c r="A38" s="62" t="s">
        <v>310</v>
      </c>
      <c r="B38" s="62" t="s">
        <v>354</v>
      </c>
      <c r="C38" s="62" t="s">
        <v>366</v>
      </c>
      <c r="D38" s="62" t="s">
        <v>356</v>
      </c>
      <c r="E38" s="62" t="s">
        <v>364</v>
      </c>
      <c r="F38" s="63" t="s">
        <v>264</v>
      </c>
      <c r="G38" s="56" t="s">
        <v>26</v>
      </c>
      <c r="H38" t="s">
        <v>367</v>
      </c>
    </row>
    <row r="39" spans="1:8">
      <c r="A39" s="62" t="s">
        <v>310</v>
      </c>
      <c r="B39" s="62" t="s">
        <v>350</v>
      </c>
      <c r="C39" s="62" t="s">
        <v>368</v>
      </c>
      <c r="D39" s="62" t="s">
        <v>350</v>
      </c>
      <c r="E39" s="62" t="s">
        <v>34</v>
      </c>
      <c r="F39" s="63" t="s">
        <v>264</v>
      </c>
      <c r="G39" s="56" t="s">
        <v>26</v>
      </c>
      <c r="H39" t="s">
        <v>369</v>
      </c>
    </row>
    <row r="40" spans="1:8">
      <c r="A40" s="62" t="s">
        <v>310</v>
      </c>
      <c r="B40" s="62" t="s">
        <v>350</v>
      </c>
      <c r="C40" s="62" t="s">
        <v>370</v>
      </c>
      <c r="D40" s="62" t="s">
        <v>350</v>
      </c>
      <c r="E40" s="62" t="s">
        <v>34</v>
      </c>
      <c r="F40" s="63" t="s">
        <v>264</v>
      </c>
      <c r="G40" s="56" t="s">
        <v>26</v>
      </c>
      <c r="H40" t="s">
        <v>371</v>
      </c>
    </row>
    <row r="41" spans="1:8">
      <c r="A41" s="23"/>
      <c r="B41" s="23"/>
      <c r="C41" s="23"/>
      <c r="D41" s="23"/>
      <c r="E41" s="23"/>
      <c r="F41" s="56"/>
    </row>
    <row r="42" spans="1:8">
      <c r="A42" s="10" t="s">
        <v>310</v>
      </c>
      <c r="B42" s="10" t="s">
        <v>311</v>
      </c>
      <c r="C42" s="10" t="s">
        <v>370</v>
      </c>
      <c r="D42" s="10" t="s">
        <v>372</v>
      </c>
      <c r="E42" t="s">
        <v>33</v>
      </c>
      <c r="F42" s="56" t="s">
        <v>264</v>
      </c>
      <c r="G42" t="s">
        <v>32</v>
      </c>
      <c r="H42" t="s">
        <v>371</v>
      </c>
    </row>
    <row r="43" spans="1:8">
      <c r="A43" s="10" t="s">
        <v>310</v>
      </c>
      <c r="B43" s="10" t="s">
        <v>316</v>
      </c>
      <c r="C43" s="10" t="s">
        <v>373</v>
      </c>
      <c r="D43" s="10" t="s">
        <v>374</v>
      </c>
      <c r="E43" t="s">
        <v>33</v>
      </c>
      <c r="F43" s="56" t="s">
        <v>264</v>
      </c>
      <c r="G43" t="s">
        <v>32</v>
      </c>
      <c r="H43" t="s">
        <v>375</v>
      </c>
    </row>
    <row r="44" spans="1:8">
      <c r="A44" s="10" t="s">
        <v>310</v>
      </c>
      <c r="B44" s="10" t="s">
        <v>316</v>
      </c>
      <c r="C44" s="13" t="s">
        <v>376</v>
      </c>
      <c r="D44" s="13" t="s">
        <v>377</v>
      </c>
      <c r="E44" t="s">
        <v>33</v>
      </c>
      <c r="F44" s="56" t="s">
        <v>264</v>
      </c>
      <c r="G44" t="s">
        <v>32</v>
      </c>
      <c r="H44" t="s">
        <v>378</v>
      </c>
    </row>
    <row r="45" spans="1:8">
      <c r="A45" s="10" t="s">
        <v>310</v>
      </c>
      <c r="B45" s="10" t="s">
        <v>316</v>
      </c>
      <c r="C45" s="13" t="s">
        <v>379</v>
      </c>
      <c r="D45" s="13" t="s">
        <v>377</v>
      </c>
      <c r="E45" t="s">
        <v>33</v>
      </c>
      <c r="F45" s="56" t="s">
        <v>264</v>
      </c>
      <c r="G45" t="s">
        <v>32</v>
      </c>
      <c r="H45" t="s">
        <v>380</v>
      </c>
    </row>
    <row r="46" spans="1:8">
      <c r="A46" s="10" t="s">
        <v>310</v>
      </c>
      <c r="B46" s="10" t="s">
        <v>311</v>
      </c>
      <c r="C46" s="13" t="s">
        <v>368</v>
      </c>
      <c r="D46" s="13" t="s">
        <v>381</v>
      </c>
      <c r="E46" t="s">
        <v>33</v>
      </c>
      <c r="F46" s="56" t="s">
        <v>264</v>
      </c>
      <c r="G46" t="s">
        <v>32</v>
      </c>
      <c r="H46" t="s">
        <v>369</v>
      </c>
    </row>
    <row r="47" spans="1:8">
      <c r="A47" s="10" t="s">
        <v>310</v>
      </c>
      <c r="B47" s="10" t="s">
        <v>332</v>
      </c>
      <c r="C47" s="10" t="s">
        <v>213</v>
      </c>
      <c r="D47" s="10" t="s">
        <v>332</v>
      </c>
      <c r="E47" t="s">
        <v>33</v>
      </c>
      <c r="F47" s="56" t="s">
        <v>264</v>
      </c>
      <c r="G47" t="s">
        <v>32</v>
      </c>
      <c r="H47" t="s">
        <v>382</v>
      </c>
    </row>
    <row r="48" spans="1:8">
      <c r="A48" s="10" t="s">
        <v>310</v>
      </c>
      <c r="B48" s="10" t="s">
        <v>329</v>
      </c>
      <c r="C48" t="s">
        <v>383</v>
      </c>
      <c r="D48" s="10" t="s">
        <v>329</v>
      </c>
      <c r="E48" t="s">
        <v>33</v>
      </c>
      <c r="F48" s="56" t="s">
        <v>297</v>
      </c>
      <c r="G48" t="s">
        <v>32</v>
      </c>
    </row>
    <row r="49" spans="1:8">
      <c r="A49" s="23"/>
      <c r="B49" s="23"/>
      <c r="C49" s="23"/>
      <c r="D49" s="23"/>
      <c r="E49" s="23"/>
    </row>
    <row r="50" spans="1:8">
      <c r="A50" s="10" t="s">
        <v>310</v>
      </c>
      <c r="B50" s="13" t="s">
        <v>316</v>
      </c>
      <c r="C50" s="10" t="s">
        <v>384</v>
      </c>
      <c r="D50" s="10" t="s">
        <v>242</v>
      </c>
      <c r="E50" t="s">
        <v>38</v>
      </c>
      <c r="F50" s="56" t="s">
        <v>264</v>
      </c>
      <c r="G50" t="s">
        <v>37</v>
      </c>
      <c r="H50" t="s">
        <v>385</v>
      </c>
    </row>
    <row r="51" spans="1:8">
      <c r="A51" s="10" t="s">
        <v>310</v>
      </c>
      <c r="B51" s="13" t="s">
        <v>316</v>
      </c>
      <c r="C51" s="10" t="s">
        <v>386</v>
      </c>
      <c r="D51" s="10" t="s">
        <v>242</v>
      </c>
      <c r="E51" t="s">
        <v>38</v>
      </c>
      <c r="F51" s="56" t="s">
        <v>264</v>
      </c>
      <c r="G51" t="s">
        <v>37</v>
      </c>
      <c r="H51" t="s">
        <v>387</v>
      </c>
    </row>
    <row r="52" spans="1:8">
      <c r="A52" s="10" t="s">
        <v>310</v>
      </c>
      <c r="B52" s="13" t="s">
        <v>316</v>
      </c>
      <c r="C52" s="10" t="s">
        <v>388</v>
      </c>
      <c r="D52" s="10" t="s">
        <v>242</v>
      </c>
      <c r="E52" t="s">
        <v>38</v>
      </c>
      <c r="F52" s="56" t="s">
        <v>264</v>
      </c>
      <c r="G52" t="s">
        <v>37</v>
      </c>
      <c r="H52" t="s">
        <v>389</v>
      </c>
    </row>
    <row r="53" spans="1:8">
      <c r="A53" s="10" t="s">
        <v>310</v>
      </c>
      <c r="B53" s="10" t="s">
        <v>332</v>
      </c>
      <c r="C53" s="10" t="s">
        <v>213</v>
      </c>
      <c r="D53" s="10" t="s">
        <v>332</v>
      </c>
      <c r="E53" t="s">
        <v>38</v>
      </c>
      <c r="F53" s="56" t="s">
        <v>264</v>
      </c>
      <c r="G53" t="s">
        <v>37</v>
      </c>
      <c r="H53" t="s">
        <v>382</v>
      </c>
    </row>
    <row r="54" spans="1:8" ht="24.95">
      <c r="A54" s="10" t="s">
        <v>310</v>
      </c>
      <c r="B54" s="10" t="s">
        <v>311</v>
      </c>
      <c r="C54" s="10" t="s">
        <v>285</v>
      </c>
      <c r="D54" s="10" t="s">
        <v>286</v>
      </c>
      <c r="E54" t="s">
        <v>38</v>
      </c>
      <c r="F54" s="56" t="s">
        <v>264</v>
      </c>
      <c r="G54" t="s">
        <v>37</v>
      </c>
      <c r="H54" s="29" t="s">
        <v>287</v>
      </c>
    </row>
    <row r="55" spans="1:8">
      <c r="A55" s="10" t="s">
        <v>310</v>
      </c>
      <c r="B55" s="10" t="s">
        <v>329</v>
      </c>
      <c r="C55" s="10" t="s">
        <v>390</v>
      </c>
      <c r="D55" s="10" t="s">
        <v>329</v>
      </c>
      <c r="E55" t="s">
        <v>38</v>
      </c>
      <c r="F55" s="56" t="s">
        <v>297</v>
      </c>
      <c r="G55" t="s">
        <v>37</v>
      </c>
    </row>
    <row r="56" spans="1:8">
      <c r="A56" s="23"/>
      <c r="B56" s="23"/>
      <c r="C56" s="23"/>
      <c r="D56" s="23"/>
      <c r="E56" s="23"/>
    </row>
    <row r="57" spans="1:8" ht="21" customHeight="1">
      <c r="A57" s="10" t="s">
        <v>310</v>
      </c>
      <c r="B57" s="10" t="s">
        <v>332</v>
      </c>
      <c r="C57" s="27" t="s">
        <v>391</v>
      </c>
      <c r="D57" s="10" t="s">
        <v>332</v>
      </c>
      <c r="E57" t="s">
        <v>46</v>
      </c>
      <c r="F57" s="56" t="s">
        <v>264</v>
      </c>
      <c r="H57" t="s">
        <v>392</v>
      </c>
    </row>
    <row r="58" spans="1:8" ht="20.25" customHeight="1">
      <c r="A58" s="10" t="s">
        <v>310</v>
      </c>
      <c r="B58" s="10" t="s">
        <v>311</v>
      </c>
      <c r="C58" s="10" t="s">
        <v>393</v>
      </c>
      <c r="E58" t="s">
        <v>46</v>
      </c>
      <c r="F58" s="56" t="s">
        <v>264</v>
      </c>
      <c r="H58" t="s">
        <v>394</v>
      </c>
    </row>
    <row r="59" spans="1:8">
      <c r="A59" s="10" t="s">
        <v>310</v>
      </c>
      <c r="B59" s="13" t="s">
        <v>316</v>
      </c>
      <c r="C59" s="10" t="s">
        <v>395</v>
      </c>
      <c r="E59" t="s">
        <v>46</v>
      </c>
      <c r="F59" s="56" t="s">
        <v>264</v>
      </c>
      <c r="H59" t="s">
        <v>396</v>
      </c>
    </row>
    <row r="60" spans="1:8">
      <c r="A60" s="10" t="s">
        <v>310</v>
      </c>
      <c r="B60" s="10" t="s">
        <v>329</v>
      </c>
      <c r="C60" s="10" t="s">
        <v>330</v>
      </c>
      <c r="D60" s="10" t="s">
        <v>329</v>
      </c>
      <c r="E60" t="s">
        <v>46</v>
      </c>
      <c r="F60" s="56" t="s">
        <v>297</v>
      </c>
    </row>
    <row r="61" spans="1:8">
      <c r="A61" s="23"/>
      <c r="B61" s="23"/>
      <c r="C61" s="23"/>
      <c r="D61" s="23"/>
      <c r="E61" s="23"/>
    </row>
    <row r="62" spans="1:8">
      <c r="A62" s="10" t="s">
        <v>310</v>
      </c>
      <c r="B62" s="10" t="s">
        <v>329</v>
      </c>
      <c r="C62" s="10" t="s">
        <v>390</v>
      </c>
      <c r="D62" s="10" t="s">
        <v>329</v>
      </c>
      <c r="E62" t="s">
        <v>42</v>
      </c>
      <c r="F62" s="56" t="s">
        <v>297</v>
      </c>
      <c r="G62" t="s">
        <v>41</v>
      </c>
    </row>
    <row r="63" spans="1:8">
      <c r="A63" s="10" t="s">
        <v>310</v>
      </c>
      <c r="B63" s="10" t="s">
        <v>332</v>
      </c>
      <c r="C63" s="10" t="s">
        <v>213</v>
      </c>
      <c r="D63" s="10" t="s">
        <v>332</v>
      </c>
      <c r="E63" t="s">
        <v>42</v>
      </c>
      <c r="F63" s="56" t="s">
        <v>264</v>
      </c>
      <c r="G63" t="s">
        <v>41</v>
      </c>
      <c r="H63" t="s">
        <v>382</v>
      </c>
    </row>
    <row r="64" spans="1:8">
      <c r="A64" s="10" t="s">
        <v>310</v>
      </c>
      <c r="B64" s="10" t="s">
        <v>311</v>
      </c>
      <c r="C64" s="10" t="s">
        <v>397</v>
      </c>
      <c r="E64" t="s">
        <v>42</v>
      </c>
      <c r="F64" s="56" t="s">
        <v>264</v>
      </c>
      <c r="G64" t="s">
        <v>41</v>
      </c>
      <c r="H64" t="s">
        <v>398</v>
      </c>
    </row>
    <row r="65" spans="1:8">
      <c r="A65" s="10" t="s">
        <v>310</v>
      </c>
      <c r="B65" s="10" t="s">
        <v>316</v>
      </c>
      <c r="C65" s="10" t="s">
        <v>399</v>
      </c>
      <c r="E65" t="s">
        <v>42</v>
      </c>
      <c r="F65" s="56" t="s">
        <v>264</v>
      </c>
      <c r="G65" t="s">
        <v>41</v>
      </c>
      <c r="H65" t="s">
        <v>400</v>
      </c>
    </row>
    <row r="66" spans="1:8">
      <c r="A66" s="23"/>
      <c r="B66" s="23"/>
      <c r="C66" s="23"/>
      <c r="D66" s="23"/>
      <c r="E66" s="23"/>
    </row>
    <row r="67" spans="1:8">
      <c r="A67" s="10" t="s">
        <v>310</v>
      </c>
      <c r="B67" s="10" t="s">
        <v>332</v>
      </c>
      <c r="C67" s="10" t="s">
        <v>401</v>
      </c>
      <c r="D67" s="10" t="s">
        <v>332</v>
      </c>
      <c r="E67" t="s">
        <v>51</v>
      </c>
      <c r="F67" s="56" t="s">
        <v>264</v>
      </c>
      <c r="H67" t="s">
        <v>402</v>
      </c>
    </row>
    <row r="68" spans="1:8">
      <c r="A68" s="10" t="s">
        <v>310</v>
      </c>
      <c r="B68" s="10" t="s">
        <v>329</v>
      </c>
      <c r="C68" s="10" t="s">
        <v>403</v>
      </c>
      <c r="D68" s="10" t="s">
        <v>329</v>
      </c>
      <c r="E68" t="s">
        <v>51</v>
      </c>
      <c r="F68" s="56" t="s">
        <v>297</v>
      </c>
      <c r="H68" t="s">
        <v>404</v>
      </c>
    </row>
    <row r="69" spans="1:8">
      <c r="A69" s="10" t="s">
        <v>310</v>
      </c>
      <c r="B69" s="13" t="s">
        <v>316</v>
      </c>
      <c r="C69" t="s">
        <v>405</v>
      </c>
      <c r="E69" t="s">
        <v>51</v>
      </c>
      <c r="F69" s="56" t="s">
        <v>264</v>
      </c>
      <c r="H69" s="29" t="s">
        <v>406</v>
      </c>
    </row>
    <row r="70" spans="1:8">
      <c r="A70" s="10" t="s">
        <v>310</v>
      </c>
      <c r="B70" s="10" t="s">
        <v>311</v>
      </c>
      <c r="C70" s="10" t="s">
        <v>407</v>
      </c>
      <c r="E70" t="s">
        <v>51</v>
      </c>
      <c r="F70" s="56" t="s">
        <v>264</v>
      </c>
      <c r="H70" s="29" t="s">
        <v>408</v>
      </c>
    </row>
    <row r="71" spans="1:8">
      <c r="A71" s="23"/>
      <c r="B71" s="23"/>
      <c r="C71" s="23"/>
      <c r="D71" s="23"/>
      <c r="E71" s="23"/>
    </row>
    <row r="72" spans="1:8">
      <c r="A72" s="10" t="s">
        <v>310</v>
      </c>
      <c r="B72" s="10" t="s">
        <v>329</v>
      </c>
      <c r="C72" s="10" t="s">
        <v>409</v>
      </c>
      <c r="D72" s="10" t="s">
        <v>329</v>
      </c>
      <c r="E72" t="s">
        <v>56</v>
      </c>
      <c r="F72" s="56" t="s">
        <v>297</v>
      </c>
    </row>
    <row r="73" spans="1:8">
      <c r="A73" s="10" t="s">
        <v>310</v>
      </c>
      <c r="B73" s="13" t="s">
        <v>316</v>
      </c>
      <c r="C73" t="s">
        <v>410</v>
      </c>
      <c r="E73" t="s">
        <v>56</v>
      </c>
      <c r="F73" s="56" t="s">
        <v>264</v>
      </c>
      <c r="H73" t="s">
        <v>411</v>
      </c>
    </row>
    <row r="74" spans="1:8">
      <c r="A74" s="10" t="s">
        <v>310</v>
      </c>
      <c r="B74" s="10" t="s">
        <v>311</v>
      </c>
      <c r="C74" s="10" t="s">
        <v>304</v>
      </c>
      <c r="E74" t="s">
        <v>56</v>
      </c>
      <c r="F74" s="56" t="s">
        <v>264</v>
      </c>
      <c r="H74" t="s">
        <v>305</v>
      </c>
    </row>
    <row r="75" spans="1:8">
      <c r="A75" s="23"/>
      <c r="B75" s="23"/>
      <c r="C75" s="23"/>
      <c r="D75" s="23"/>
      <c r="E75" s="23"/>
    </row>
    <row r="76" spans="1:8">
      <c r="A76" s="10" t="s">
        <v>310</v>
      </c>
      <c r="B76" s="10" t="s">
        <v>332</v>
      </c>
      <c r="C76" s="10" t="s">
        <v>213</v>
      </c>
      <c r="D76" s="10" t="s">
        <v>332</v>
      </c>
      <c r="E76" t="s">
        <v>59</v>
      </c>
      <c r="F76" s="56" t="s">
        <v>264</v>
      </c>
      <c r="H76" t="s">
        <v>382</v>
      </c>
    </row>
    <row r="77" spans="1:8">
      <c r="A77" s="10" t="s">
        <v>310</v>
      </c>
      <c r="B77" s="10" t="s">
        <v>329</v>
      </c>
      <c r="C77" s="10" t="s">
        <v>403</v>
      </c>
      <c r="D77" s="10" t="s">
        <v>329</v>
      </c>
      <c r="E77" t="s">
        <v>59</v>
      </c>
      <c r="F77" s="56" t="s">
        <v>297</v>
      </c>
      <c r="H77" t="s">
        <v>404</v>
      </c>
    </row>
    <row r="78" spans="1:8">
      <c r="A78" s="10" t="s">
        <v>310</v>
      </c>
      <c r="B78" s="13" t="s">
        <v>316</v>
      </c>
      <c r="C78" t="s">
        <v>412</v>
      </c>
      <c r="E78" t="s">
        <v>59</v>
      </c>
      <c r="F78" s="56" t="s">
        <v>264</v>
      </c>
    </row>
    <row r="79" spans="1:8">
      <c r="A79" s="10" t="s">
        <v>310</v>
      </c>
      <c r="B79" s="10" t="s">
        <v>311</v>
      </c>
      <c r="C79" s="10" t="s">
        <v>413</v>
      </c>
      <c r="E79" t="s">
        <v>59</v>
      </c>
      <c r="F79" s="56" t="s">
        <v>264</v>
      </c>
      <c r="H79" t="s">
        <v>414</v>
      </c>
    </row>
    <row r="80" spans="1:8">
      <c r="A80" s="23"/>
      <c r="B80" s="23"/>
      <c r="C80" s="23"/>
      <c r="D80" s="23"/>
      <c r="E80" s="23"/>
    </row>
    <row r="81" spans="1:8">
      <c r="A81" s="10" t="s">
        <v>310</v>
      </c>
      <c r="B81" s="10" t="s">
        <v>332</v>
      </c>
      <c r="C81" s="10" t="s">
        <v>401</v>
      </c>
      <c r="D81" s="10" t="s">
        <v>332</v>
      </c>
      <c r="E81" t="s">
        <v>61</v>
      </c>
      <c r="F81" s="56" t="s">
        <v>264</v>
      </c>
      <c r="H81" t="s">
        <v>402</v>
      </c>
    </row>
    <row r="82" spans="1:8">
      <c r="A82" s="10" t="s">
        <v>310</v>
      </c>
      <c r="B82" s="10" t="s">
        <v>329</v>
      </c>
      <c r="C82" s="10" t="s">
        <v>330</v>
      </c>
      <c r="D82" s="10" t="s">
        <v>329</v>
      </c>
      <c r="E82" t="s">
        <v>61</v>
      </c>
      <c r="F82" s="56" t="s">
        <v>297</v>
      </c>
      <c r="H82" t="s">
        <v>331</v>
      </c>
    </row>
    <row r="83" spans="1:8">
      <c r="A83" s="10" t="s">
        <v>310</v>
      </c>
      <c r="B83" s="13" t="s">
        <v>316</v>
      </c>
      <c r="E83" t="s">
        <v>61</v>
      </c>
      <c r="F83" s="56" t="s">
        <v>264</v>
      </c>
    </row>
    <row r="84" spans="1:8" ht="19.5" customHeight="1">
      <c r="A84" s="10" t="s">
        <v>310</v>
      </c>
      <c r="B84" s="10" t="s">
        <v>311</v>
      </c>
      <c r="C84" s="10"/>
      <c r="E84" t="s">
        <v>61</v>
      </c>
      <c r="F84" s="56" t="s">
        <v>264</v>
      </c>
    </row>
    <row r="85" spans="1:8">
      <c r="A85" s="23"/>
      <c r="B85" s="23"/>
      <c r="C85" s="23"/>
      <c r="D85" s="23"/>
      <c r="E85" s="23"/>
    </row>
    <row r="86" spans="1:8">
      <c r="A86" s="10" t="s">
        <v>310</v>
      </c>
      <c r="B86" s="10" t="s">
        <v>332</v>
      </c>
      <c r="C86" s="10" t="s">
        <v>391</v>
      </c>
      <c r="D86" s="10" t="s">
        <v>332</v>
      </c>
      <c r="E86" t="s">
        <v>64</v>
      </c>
      <c r="F86" s="56" t="s">
        <v>264</v>
      </c>
      <c r="G86" t="s">
        <v>62</v>
      </c>
      <c r="H86" t="s">
        <v>392</v>
      </c>
    </row>
    <row r="87" spans="1:8">
      <c r="A87" s="10" t="s">
        <v>310</v>
      </c>
      <c r="B87" s="10" t="s">
        <v>329</v>
      </c>
      <c r="C87" s="64" t="s">
        <v>415</v>
      </c>
      <c r="D87" s="10" t="s">
        <v>329</v>
      </c>
      <c r="E87" t="s">
        <v>64</v>
      </c>
      <c r="F87" s="56" t="s">
        <v>297</v>
      </c>
      <c r="G87" t="s">
        <v>62</v>
      </c>
    </row>
    <row r="88" spans="1:8">
      <c r="A88" s="10" t="s">
        <v>310</v>
      </c>
      <c r="B88" s="13" t="s">
        <v>316</v>
      </c>
      <c r="C88" t="s">
        <v>416</v>
      </c>
      <c r="D88" t="s">
        <v>417</v>
      </c>
      <c r="E88" t="s">
        <v>64</v>
      </c>
      <c r="F88" s="56" t="s">
        <v>264</v>
      </c>
      <c r="G88" t="s">
        <v>62</v>
      </c>
      <c r="H88" t="s">
        <v>418</v>
      </c>
    </row>
    <row r="89" spans="1:8">
      <c r="A89" s="10" t="s">
        <v>310</v>
      </c>
      <c r="B89" s="13" t="s">
        <v>316</v>
      </c>
      <c r="C89" t="s">
        <v>419</v>
      </c>
      <c r="D89" t="s">
        <v>420</v>
      </c>
      <c r="E89" t="s">
        <v>64</v>
      </c>
      <c r="F89" s="56" t="s">
        <v>264</v>
      </c>
      <c r="G89" t="s">
        <v>62</v>
      </c>
      <c r="H89" t="s">
        <v>421</v>
      </c>
    </row>
    <row r="90" spans="1:8">
      <c r="A90" s="10" t="s">
        <v>310</v>
      </c>
      <c r="B90" s="10" t="s">
        <v>311</v>
      </c>
      <c r="C90" t="s">
        <v>422</v>
      </c>
      <c r="D90" t="s">
        <v>423</v>
      </c>
      <c r="E90" t="s">
        <v>64</v>
      </c>
      <c r="F90" s="56" t="s">
        <v>264</v>
      </c>
      <c r="G90" t="s">
        <v>62</v>
      </c>
      <c r="H90" t="s">
        <v>424</v>
      </c>
    </row>
    <row r="91" spans="1:8">
      <c r="A91" s="23"/>
      <c r="B91" s="23"/>
      <c r="C91" s="23"/>
      <c r="D91" s="23"/>
      <c r="E91" s="23"/>
    </row>
    <row r="92" spans="1:8">
      <c r="A92" s="10" t="s">
        <v>310</v>
      </c>
      <c r="B92" s="10" t="s">
        <v>332</v>
      </c>
      <c r="C92" s="10" t="s">
        <v>401</v>
      </c>
      <c r="D92" s="10" t="s">
        <v>332</v>
      </c>
      <c r="E92" t="s">
        <v>52</v>
      </c>
      <c r="F92" s="56" t="s">
        <v>264</v>
      </c>
      <c r="G92" t="s">
        <v>53</v>
      </c>
      <c r="H92" t="s">
        <v>402</v>
      </c>
    </row>
    <row r="93" spans="1:8">
      <c r="A93" s="10" t="s">
        <v>310</v>
      </c>
      <c r="B93" s="10" t="s">
        <v>329</v>
      </c>
      <c r="C93" t="s">
        <v>425</v>
      </c>
      <c r="D93" s="10" t="s">
        <v>329</v>
      </c>
      <c r="E93" t="s">
        <v>52</v>
      </c>
      <c r="F93" s="56" t="s">
        <v>297</v>
      </c>
      <c r="G93" t="s">
        <v>53</v>
      </c>
    </row>
    <row r="94" spans="1:8">
      <c r="A94" s="10" t="s">
        <v>310</v>
      </c>
      <c r="B94" s="13" t="s">
        <v>316</v>
      </c>
      <c r="C94" t="s">
        <v>426</v>
      </c>
      <c r="E94" t="s">
        <v>52</v>
      </c>
      <c r="F94" s="56" t="s">
        <v>264</v>
      </c>
      <c r="G94" t="s">
        <v>53</v>
      </c>
      <c r="H94" t="s">
        <v>427</v>
      </c>
    </row>
    <row r="95" spans="1:8">
      <c r="A95" s="10" t="s">
        <v>310</v>
      </c>
      <c r="B95" s="13" t="s">
        <v>316</v>
      </c>
      <c r="C95" t="s">
        <v>428</v>
      </c>
      <c r="E95" t="s">
        <v>52</v>
      </c>
      <c r="F95" s="56" t="s">
        <v>264</v>
      </c>
      <c r="G95" t="s">
        <v>53</v>
      </c>
      <c r="H95" t="s">
        <v>429</v>
      </c>
    </row>
    <row r="96" spans="1:8">
      <c r="A96" s="10" t="s">
        <v>310</v>
      </c>
      <c r="B96" s="10" t="s">
        <v>311</v>
      </c>
      <c r="C96" s="10" t="s">
        <v>407</v>
      </c>
      <c r="D96" t="s">
        <v>430</v>
      </c>
      <c r="E96" t="s">
        <v>52</v>
      </c>
      <c r="F96" s="56" t="s">
        <v>264</v>
      </c>
      <c r="G96" t="s">
        <v>53</v>
      </c>
      <c r="H96" s="29" t="s">
        <v>408</v>
      </c>
    </row>
    <row r="97" spans="1:5">
      <c r="A97" s="23"/>
      <c r="B97" s="23"/>
      <c r="C97" s="23"/>
      <c r="D97" s="23"/>
      <c r="E97" s="23"/>
    </row>
  </sheetData>
  <autoFilter ref="A1:H17" xr:uid="{00000000-0001-0000-0500-000000000000}"/>
  <hyperlinks>
    <hyperlink ref="H4" r:id="rId1" xr:uid="{9D4376E9-6DD6-4DFE-B85A-8BB200969668}"/>
    <hyperlink ref="H5" r:id="rId2" xr:uid="{2D61FF19-9D20-40DF-8933-FD3B09883AA0}"/>
    <hyperlink ref="H6" r:id="rId3" xr:uid="{0499A574-1A59-4B9A-82E7-902550971912}"/>
    <hyperlink ref="H8" r:id="rId4" xr:uid="{DE803656-9739-4344-9A27-2CDA92545D76}"/>
    <hyperlink ref="H9" r:id="rId5" xr:uid="{8D55B3E0-A739-469E-9128-71ADF31D2304}"/>
    <hyperlink ref="H11" r:id="rId6" xr:uid="{0B9F99BD-7BA0-40C8-875D-FC25F62ADC54}"/>
    <hyperlink ref="H12" r:id="rId7" xr:uid="{ADA42320-FC71-4DFC-BD94-4EF4A99DA8D9}"/>
    <hyperlink ref="H14" r:id="rId8" xr:uid="{CFEA9B47-F507-4B2E-90C0-DD3EB65FE821}"/>
    <hyperlink ref="H15" r:id="rId9" xr:uid="{91610B25-65FB-4098-9A11-3862ED8DDE2F}"/>
    <hyperlink ref="H19" r:id="rId10" xr:uid="{6E5C55C6-4F62-4497-BC19-E181F0AAFA8C}"/>
    <hyperlink ref="H22" r:id="rId11" xr:uid="{E291D9C1-8DCC-463E-9A0F-D03897A3C231}"/>
    <hyperlink ref="H24" r:id="rId12" xr:uid="{9A794583-1083-4E3B-AB26-24BDEED09CB4}"/>
    <hyperlink ref="H23" r:id="rId13" xr:uid="{D816F083-2BFE-4CF6-868A-DD26824A784B}"/>
    <hyperlink ref="H25" r:id="rId14" xr:uid="{2DFCCF10-5532-46EF-9D91-3047E97BDE95}"/>
    <hyperlink ref="H28" r:id="rId15" xr:uid="{DE79D421-17A2-4022-AB88-8DD190628C6C}"/>
    <hyperlink ref="H27" r:id="rId16" xr:uid="{B5146ACB-5388-4A9A-A7E2-1F4F49D13001}"/>
    <hyperlink ref="H32" r:id="rId17" xr:uid="{D1E0ACE7-C5BB-42A3-90E2-BBA872121F79}"/>
    <hyperlink ref="H70" r:id="rId18" xr:uid="{D631ABC6-9847-47D5-8023-135AC70A3FA3}"/>
    <hyperlink ref="H96" r:id="rId19" xr:uid="{2F2F12C5-0BAD-45C1-861B-4D663D2A3C1C}"/>
    <hyperlink ref="H26" r:id="rId20" xr:uid="{5245AA62-CEAF-4866-BC4B-D521D3344F2C}"/>
    <hyperlink ref="H29" r:id="rId21" xr:uid="{8A92D8A8-E61F-4C7B-9E04-BFAA619B2C5B}"/>
    <hyperlink ref="H54" r:id="rId22" xr:uid="{C79CD68B-B2F3-4754-A2C1-540C7FC963D2}"/>
    <hyperlink ref="H69" r:id="rId23" xr:uid="{9D69F91D-639D-47DF-A0A4-4E86B41F60A7}"/>
    <hyperlink ref="H52" r:id="rId24" xr:uid="{BF31918A-E1E5-47EF-B68A-5E96683F3E09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91B2"/>
  </sheetPr>
  <dimension ref="A1:G14"/>
  <sheetViews>
    <sheetView zoomScaleNormal="100" workbookViewId="0">
      <pane ySplit="2" topLeftCell="A3" activePane="bottomLeft" state="frozen"/>
      <selection pane="bottomLeft" activeCell="B1" sqref="B1"/>
    </sheetView>
  </sheetViews>
  <sheetFormatPr defaultColWidth="8.5703125" defaultRowHeight="14.45"/>
  <cols>
    <col min="1" max="1" width="49.28515625" customWidth="1"/>
    <col min="2" max="7" width="30" customWidth="1"/>
  </cols>
  <sheetData>
    <row r="1" spans="1:7" ht="42" customHeight="1">
      <c r="A1" s="5" t="s">
        <v>431</v>
      </c>
      <c r="B1" s="5" t="s">
        <v>432</v>
      </c>
      <c r="C1" s="5" t="s">
        <v>433</v>
      </c>
      <c r="D1" s="5" t="s">
        <v>434</v>
      </c>
      <c r="E1" s="5" t="s">
        <v>435</v>
      </c>
      <c r="F1" s="5" t="s">
        <v>436</v>
      </c>
      <c r="G1" s="5" t="s">
        <v>437</v>
      </c>
    </row>
    <row r="2" spans="1:7" ht="14.25" customHeight="1">
      <c r="A2" s="9" t="s">
        <v>438</v>
      </c>
      <c r="B2" s="9" t="s">
        <v>439</v>
      </c>
      <c r="C2" s="9" t="s">
        <v>439</v>
      </c>
      <c r="D2" s="9" t="s">
        <v>439</v>
      </c>
      <c r="E2" s="9" t="s">
        <v>439</v>
      </c>
      <c r="F2" s="9" t="s">
        <v>439</v>
      </c>
      <c r="G2" s="9" t="s">
        <v>439</v>
      </c>
    </row>
    <row r="3" spans="1:7" ht="35.1" customHeight="1">
      <c r="A3" s="14" t="s">
        <v>440</v>
      </c>
      <c r="B3" s="15" t="s">
        <v>441</v>
      </c>
      <c r="C3" s="16" t="s">
        <v>442</v>
      </c>
      <c r="D3" s="17" t="s">
        <v>443</v>
      </c>
      <c r="E3" s="16" t="s">
        <v>442</v>
      </c>
      <c r="F3" s="18" t="s">
        <v>444</v>
      </c>
      <c r="G3" s="16" t="s">
        <v>442</v>
      </c>
    </row>
    <row r="4" spans="1:7" ht="23.85" customHeight="1">
      <c r="A4" s="14" t="s">
        <v>199</v>
      </c>
      <c r="B4" s="18" t="s">
        <v>444</v>
      </c>
      <c r="C4" s="18" t="s">
        <v>444</v>
      </c>
      <c r="D4" s="15" t="s">
        <v>441</v>
      </c>
      <c r="E4" s="16" t="s">
        <v>442</v>
      </c>
      <c r="F4" s="18" t="s">
        <v>444</v>
      </c>
      <c r="G4" s="17" t="s">
        <v>443</v>
      </c>
    </row>
    <row r="5" spans="1:7" ht="35.1" customHeight="1">
      <c r="A5" s="14" t="s">
        <v>445</v>
      </c>
      <c r="B5" s="18" t="s">
        <v>444</v>
      </c>
      <c r="C5" s="18" t="s">
        <v>444</v>
      </c>
      <c r="D5" s="15" t="s">
        <v>441</v>
      </c>
      <c r="E5" s="16" t="s">
        <v>442</v>
      </c>
      <c r="F5" s="16" t="s">
        <v>442</v>
      </c>
      <c r="G5" s="17" t="s">
        <v>443</v>
      </c>
    </row>
    <row r="6" spans="1:7" ht="23.85" customHeight="1">
      <c r="A6" s="14" t="s">
        <v>446</v>
      </c>
      <c r="B6" s="15" t="s">
        <v>441</v>
      </c>
      <c r="C6" s="16" t="s">
        <v>442</v>
      </c>
      <c r="D6" s="16" t="s">
        <v>442</v>
      </c>
      <c r="E6" s="18" t="s">
        <v>444</v>
      </c>
      <c r="F6" s="17" t="s">
        <v>443</v>
      </c>
      <c r="G6" s="18" t="s">
        <v>444</v>
      </c>
    </row>
    <row r="7" spans="1:7" ht="35.1" customHeight="1">
      <c r="A7" s="14" t="s">
        <v>447</v>
      </c>
      <c r="B7" s="16" t="s">
        <v>442</v>
      </c>
      <c r="C7" s="15" t="s">
        <v>441</v>
      </c>
      <c r="D7" s="17" t="s">
        <v>443</v>
      </c>
      <c r="E7" s="18" t="s">
        <v>444</v>
      </c>
      <c r="F7" s="18" t="s">
        <v>444</v>
      </c>
      <c r="G7" s="16" t="s">
        <v>442</v>
      </c>
    </row>
    <row r="8" spans="1:7" ht="23.85" customHeight="1">
      <c r="A8" s="14" t="s">
        <v>448</v>
      </c>
      <c r="B8" s="18" t="s">
        <v>444</v>
      </c>
      <c r="C8" s="18" t="s">
        <v>444</v>
      </c>
      <c r="D8" s="15" t="s">
        <v>441</v>
      </c>
      <c r="E8" s="16" t="s">
        <v>442</v>
      </c>
      <c r="F8" s="18" t="s">
        <v>444</v>
      </c>
      <c r="G8" s="17" t="s">
        <v>443</v>
      </c>
    </row>
    <row r="9" spans="1:7" ht="35.1" customHeight="1">
      <c r="A9" s="14" t="s">
        <v>449</v>
      </c>
      <c r="B9" s="18" t="s">
        <v>444</v>
      </c>
      <c r="C9" s="16" t="s">
        <v>442</v>
      </c>
      <c r="D9" s="15" t="s">
        <v>441</v>
      </c>
      <c r="E9" s="17" t="s">
        <v>443</v>
      </c>
      <c r="F9" s="18" t="s">
        <v>444</v>
      </c>
      <c r="G9" s="16" t="s">
        <v>442</v>
      </c>
    </row>
    <row r="10" spans="1:7" ht="23.85" customHeight="1">
      <c r="A10" s="14" t="s">
        <v>202</v>
      </c>
      <c r="B10" s="15" t="s">
        <v>441</v>
      </c>
      <c r="C10" s="18" t="s">
        <v>444</v>
      </c>
      <c r="D10" s="17" t="s">
        <v>443</v>
      </c>
      <c r="E10" s="16" t="s">
        <v>442</v>
      </c>
      <c r="F10" s="16" t="s">
        <v>442</v>
      </c>
      <c r="G10" s="16" t="s">
        <v>442</v>
      </c>
    </row>
    <row r="11" spans="1:7" ht="35.1" customHeight="1">
      <c r="A11" s="14" t="s">
        <v>450</v>
      </c>
      <c r="B11" s="18" t="s">
        <v>444</v>
      </c>
      <c r="C11" s="15" t="s">
        <v>441</v>
      </c>
      <c r="D11" s="17" t="s">
        <v>443</v>
      </c>
      <c r="E11" s="16" t="s">
        <v>442</v>
      </c>
      <c r="F11" s="18" t="s">
        <v>444</v>
      </c>
      <c r="G11" s="16" t="s">
        <v>442</v>
      </c>
    </row>
    <row r="12" spans="1:7" ht="35.1" customHeight="1">
      <c r="A12" s="14" t="s">
        <v>451</v>
      </c>
      <c r="B12" s="15" t="s">
        <v>441</v>
      </c>
      <c r="C12" s="17" t="s">
        <v>443</v>
      </c>
      <c r="D12" s="16" t="s">
        <v>442</v>
      </c>
      <c r="E12" s="18" t="s">
        <v>444</v>
      </c>
      <c r="F12" s="18" t="s">
        <v>444</v>
      </c>
      <c r="G12" s="18" t="s">
        <v>444</v>
      </c>
    </row>
    <row r="13" spans="1:7" ht="14.25" customHeight="1">
      <c r="A13" s="13"/>
      <c r="B13" s="13"/>
      <c r="C13" s="13"/>
      <c r="D13" s="13"/>
      <c r="E13" s="13"/>
      <c r="F13" s="13"/>
      <c r="G13" s="13"/>
    </row>
    <row r="14" spans="1:7" ht="27.75" customHeight="1">
      <c r="A14" s="14" t="s">
        <v>452</v>
      </c>
      <c r="B14" s="17" t="s">
        <v>453</v>
      </c>
      <c r="C14" s="15" t="s">
        <v>454</v>
      </c>
      <c r="D14" s="16" t="s">
        <v>455</v>
      </c>
      <c r="E14" s="18" t="s">
        <v>456</v>
      </c>
      <c r="F14" s="13"/>
      <c r="G14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59669"/>
  </sheetPr>
  <dimension ref="A1:D5"/>
  <sheetViews>
    <sheetView zoomScaleNormal="100" workbookViewId="0">
      <pane ySplit="2" topLeftCell="A12" activePane="bottomLeft" state="frozen"/>
      <selection pane="bottomLeft" activeCell="C12" sqref="C12"/>
    </sheetView>
  </sheetViews>
  <sheetFormatPr defaultColWidth="8.5703125" defaultRowHeight="14.45"/>
  <cols>
    <col min="1" max="4" width="15.7109375" customWidth="1"/>
  </cols>
  <sheetData>
    <row r="1" spans="1:4" ht="14.25" customHeight="1">
      <c r="A1" s="5" t="s">
        <v>457</v>
      </c>
      <c r="B1" s="5" t="s">
        <v>458</v>
      </c>
      <c r="C1" s="5" t="s">
        <v>459</v>
      </c>
      <c r="D1" s="5" t="s">
        <v>460</v>
      </c>
    </row>
    <row r="2" spans="1:4" ht="22.35" customHeight="1">
      <c r="A2" s="9" t="s">
        <v>461</v>
      </c>
      <c r="B2" s="9">
        <v>10</v>
      </c>
      <c r="C2" s="9">
        <v>10</v>
      </c>
      <c r="D2" s="19">
        <f>B2/C2</f>
        <v>1</v>
      </c>
    </row>
    <row r="3" spans="1:4" ht="23.85" customHeight="1">
      <c r="A3" s="14" t="s">
        <v>462</v>
      </c>
      <c r="B3" s="10">
        <v>10</v>
      </c>
      <c r="C3" s="10">
        <v>10</v>
      </c>
      <c r="D3" s="11">
        <f>B3/C3</f>
        <v>1</v>
      </c>
    </row>
    <row r="4" spans="1:4" ht="35.1" customHeight="1">
      <c r="A4" s="14" t="s">
        <v>463</v>
      </c>
      <c r="B4" s="10">
        <v>1</v>
      </c>
      <c r="C4" s="10">
        <v>1</v>
      </c>
      <c r="D4" s="11">
        <f>B4/C4</f>
        <v>1</v>
      </c>
    </row>
    <row r="5" spans="1:4" ht="35.1" customHeight="1">
      <c r="A5" s="14" t="s">
        <v>464</v>
      </c>
      <c r="B5" s="10">
        <v>100</v>
      </c>
      <c r="C5" s="10">
        <v>100</v>
      </c>
      <c r="D5" s="11">
        <f>B5/C5</f>
        <v>1</v>
      </c>
    </row>
  </sheetData>
  <autoFilter ref="A1:D5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C2626"/>
  </sheetPr>
  <dimension ref="A1:Q25"/>
  <sheetViews>
    <sheetView showGridLines="0" tabSelected="1" zoomScale="70" zoomScaleNormal="70" workbookViewId="0">
      <pane ySplit="2" topLeftCell="A3" activePane="bottomLeft" state="frozen"/>
      <selection pane="bottomLeft" activeCell="N12" sqref="N12"/>
    </sheetView>
  </sheetViews>
  <sheetFormatPr defaultColWidth="8.5703125" defaultRowHeight="14.45"/>
  <cols>
    <col min="1" max="1" width="41" customWidth="1"/>
    <col min="2" max="2" width="19.5703125" bestFit="1" customWidth="1"/>
    <col min="4" max="4" width="14.7109375" bestFit="1" customWidth="1"/>
    <col min="5" max="11" width="12.28515625" bestFit="1" customWidth="1"/>
    <col min="12" max="12" width="13" customWidth="1"/>
    <col min="13" max="13" width="13.42578125" bestFit="1" customWidth="1"/>
    <col min="14" max="14" width="14.5703125" customWidth="1"/>
  </cols>
  <sheetData>
    <row r="1" spans="1:17" ht="15" customHeight="1">
      <c r="A1" s="53" t="s">
        <v>227</v>
      </c>
      <c r="B1" s="65" t="s">
        <v>465</v>
      </c>
      <c r="C1" s="65" t="s">
        <v>76</v>
      </c>
      <c r="D1" s="65" t="s">
        <v>466</v>
      </c>
      <c r="E1" s="66">
        <v>45992</v>
      </c>
      <c r="F1" s="66">
        <v>46023</v>
      </c>
      <c r="G1" s="66">
        <v>46054</v>
      </c>
      <c r="H1" s="66">
        <v>46082</v>
      </c>
      <c r="I1" s="66">
        <v>46113</v>
      </c>
      <c r="J1" s="66">
        <v>46143</v>
      </c>
      <c r="K1" s="66">
        <v>46174</v>
      </c>
      <c r="L1" s="66">
        <v>46204</v>
      </c>
      <c r="M1" s="66">
        <v>46235</v>
      </c>
      <c r="N1" s="66">
        <v>46266</v>
      </c>
      <c r="O1" s="66">
        <v>46296</v>
      </c>
      <c r="P1" s="66">
        <v>46327</v>
      </c>
      <c r="Q1" s="66">
        <v>46357</v>
      </c>
    </row>
    <row r="2" spans="1:17" ht="14.25" customHeight="1">
      <c r="A2" s="58" t="s">
        <v>467</v>
      </c>
      <c r="B2" s="67" t="s">
        <v>468</v>
      </c>
      <c r="C2" s="67" t="s">
        <v>78</v>
      </c>
      <c r="D2" s="67" t="s">
        <v>469</v>
      </c>
      <c r="E2" s="67" t="s">
        <v>458</v>
      </c>
      <c r="F2" s="67" t="s">
        <v>458</v>
      </c>
      <c r="G2" s="67" t="s">
        <v>458</v>
      </c>
      <c r="H2" s="67" t="s">
        <v>458</v>
      </c>
      <c r="I2" s="67" t="s">
        <v>458</v>
      </c>
      <c r="J2" s="67" t="s">
        <v>458</v>
      </c>
      <c r="K2" s="67" t="s">
        <v>458</v>
      </c>
      <c r="L2" s="67" t="s">
        <v>458</v>
      </c>
      <c r="M2" s="67" t="s">
        <v>458</v>
      </c>
      <c r="N2" s="67" t="s">
        <v>458</v>
      </c>
      <c r="O2" s="67" t="s">
        <v>458</v>
      </c>
      <c r="P2" s="67" t="s">
        <v>458</v>
      </c>
      <c r="Q2" s="67" t="s">
        <v>458</v>
      </c>
    </row>
    <row r="3" spans="1:17" ht="14.25" customHeight="1">
      <c r="A3" s="68" t="s">
        <v>470</v>
      </c>
      <c r="B3" s="69" t="s">
        <v>297</v>
      </c>
      <c r="C3" s="69"/>
      <c r="D3" s="70">
        <v>239400</v>
      </c>
      <c r="E3" s="70">
        <v>19810</v>
      </c>
      <c r="F3" s="70">
        <v>19810</v>
      </c>
      <c r="G3" s="70">
        <v>19810</v>
      </c>
      <c r="H3" s="70">
        <v>19810</v>
      </c>
      <c r="I3" s="70">
        <v>19810</v>
      </c>
      <c r="J3" s="70">
        <v>19810</v>
      </c>
      <c r="K3" s="70">
        <v>19810</v>
      </c>
      <c r="L3" s="70">
        <v>19810</v>
      </c>
      <c r="M3" s="70">
        <v>19810</v>
      </c>
      <c r="N3" s="70">
        <v>19810</v>
      </c>
      <c r="O3" s="70"/>
      <c r="P3" s="70"/>
      <c r="Q3" s="70"/>
    </row>
    <row r="4" spans="1:17" ht="14.25" customHeight="1">
      <c r="A4" s="68" t="s">
        <v>471</v>
      </c>
      <c r="B4" s="69" t="s">
        <v>294</v>
      </c>
      <c r="C4" s="69" t="s">
        <v>26</v>
      </c>
      <c r="D4" s="70">
        <v>200000</v>
      </c>
      <c r="E4" s="70">
        <v>47200</v>
      </c>
      <c r="F4" s="70">
        <v>47200</v>
      </c>
      <c r="G4" s="70">
        <v>47200</v>
      </c>
      <c r="H4" s="70"/>
      <c r="I4" s="70"/>
      <c r="J4" s="70">
        <v>47200</v>
      </c>
      <c r="K4" s="70"/>
      <c r="L4" s="70"/>
      <c r="M4" s="70">
        <v>65000</v>
      </c>
      <c r="N4" s="70"/>
      <c r="O4" s="70"/>
      <c r="P4" s="70"/>
      <c r="Q4" s="70"/>
    </row>
    <row r="5" spans="1:17" ht="14.25" customHeight="1">
      <c r="A5" s="68" t="s">
        <v>472</v>
      </c>
      <c r="B5" s="69" t="s">
        <v>297</v>
      </c>
      <c r="C5" s="69" t="s">
        <v>71</v>
      </c>
      <c r="D5" s="70">
        <v>1440</v>
      </c>
      <c r="E5" s="70">
        <v>1440</v>
      </c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spans="1:17" ht="14.25" customHeight="1">
      <c r="A6" s="68" t="s">
        <v>473</v>
      </c>
      <c r="B6" s="69" t="s">
        <v>297</v>
      </c>
      <c r="C6" s="69"/>
      <c r="D6" s="70"/>
      <c r="E6" s="70">
        <v>5260</v>
      </c>
      <c r="F6" s="70">
        <v>5260</v>
      </c>
      <c r="G6" s="70">
        <v>5260</v>
      </c>
      <c r="H6" s="70">
        <v>5260</v>
      </c>
      <c r="I6" s="70">
        <v>5260</v>
      </c>
      <c r="J6" s="70">
        <v>5260</v>
      </c>
      <c r="K6" s="70">
        <v>5260</v>
      </c>
      <c r="L6" s="70">
        <v>5260</v>
      </c>
      <c r="M6" s="70">
        <v>5260</v>
      </c>
      <c r="N6" s="70">
        <v>5260</v>
      </c>
      <c r="O6" s="70"/>
      <c r="P6" s="70"/>
      <c r="Q6" s="70"/>
    </row>
    <row r="7" spans="1:17" ht="14.25" customHeight="1">
      <c r="A7" s="68" t="s">
        <v>472</v>
      </c>
      <c r="B7" s="69" t="s">
        <v>297</v>
      </c>
      <c r="C7" s="69"/>
      <c r="D7" s="70">
        <v>3600</v>
      </c>
      <c r="E7" s="70"/>
      <c r="F7" s="70">
        <v>3600</v>
      </c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spans="1:17" ht="14.25" customHeight="1">
      <c r="A8" s="68" t="s">
        <v>474</v>
      </c>
      <c r="B8" s="69" t="s">
        <v>475</v>
      </c>
      <c r="C8" s="69"/>
      <c r="D8" s="70">
        <v>0</v>
      </c>
      <c r="E8" s="70">
        <v>3600</v>
      </c>
      <c r="F8" s="70">
        <v>3600</v>
      </c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</row>
    <row r="9" spans="1:17" ht="14.25" customHeight="1">
      <c r="A9" s="68" t="s">
        <v>474</v>
      </c>
      <c r="B9" s="69" t="s">
        <v>475</v>
      </c>
      <c r="C9" s="69"/>
      <c r="D9" s="70">
        <v>200000</v>
      </c>
      <c r="E9" s="70">
        <v>28879</v>
      </c>
      <c r="F9" s="70">
        <v>16621</v>
      </c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ht="27.75" customHeight="1">
      <c r="A10" s="68" t="s">
        <v>474</v>
      </c>
      <c r="B10" s="69" t="s">
        <v>475</v>
      </c>
      <c r="C10" s="69"/>
      <c r="D10" s="70">
        <v>534398</v>
      </c>
      <c r="E10" s="70">
        <v>5740</v>
      </c>
      <c r="F10" s="70"/>
      <c r="G10" s="70">
        <v>5740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ht="14.25" customHeight="1">
      <c r="A11" s="68" t="s">
        <v>471</v>
      </c>
      <c r="B11" s="69" t="s">
        <v>297</v>
      </c>
      <c r="C11" s="69"/>
      <c r="D11" s="70">
        <v>788495</v>
      </c>
      <c r="E11" s="70"/>
      <c r="F11" s="70"/>
      <c r="G11" s="70">
        <v>5260</v>
      </c>
      <c r="H11" s="70"/>
      <c r="I11" s="70"/>
      <c r="J11" s="70">
        <v>46856.25</v>
      </c>
      <c r="K11" s="70">
        <v>68487.03</v>
      </c>
      <c r="L11" s="70">
        <v>52022.23</v>
      </c>
      <c r="M11" s="70">
        <v>209292.75</v>
      </c>
      <c r="N11" s="70">
        <v>80155</v>
      </c>
      <c r="O11" s="70"/>
      <c r="P11" s="70"/>
      <c r="Q11" s="70"/>
    </row>
    <row r="12" spans="1:17" ht="14.25" customHeight="1">
      <c r="A12" s="69" t="s">
        <v>476</v>
      </c>
      <c r="B12" s="69" t="s">
        <v>477</v>
      </c>
      <c r="G12" s="70">
        <v>22485</v>
      </c>
      <c r="H12" s="70">
        <v>21102.17</v>
      </c>
    </row>
    <row r="13" spans="1:17" ht="14.25" customHeight="1">
      <c r="A13" s="69" t="s">
        <v>478</v>
      </c>
      <c r="H13" s="70">
        <v>15000</v>
      </c>
      <c r="I13" s="70">
        <v>20000</v>
      </c>
      <c r="J13" s="70">
        <v>20000</v>
      </c>
      <c r="K13" s="70">
        <v>20000</v>
      </c>
      <c r="L13" s="70">
        <v>20000</v>
      </c>
    </row>
    <row r="14" spans="1:17" ht="14.25" customHeight="1"/>
    <row r="15" spans="1:17" ht="14.25" customHeight="1">
      <c r="A15" t="s">
        <v>479</v>
      </c>
      <c r="B15" s="76">
        <f>SUM(D3:D11)</f>
        <v>1967333</v>
      </c>
    </row>
    <row r="16" spans="1:17" ht="14.25" customHeight="1">
      <c r="A16" t="s">
        <v>458</v>
      </c>
      <c r="B16" s="76">
        <f>SUM(E3:Q13)</f>
        <v>1174380.43</v>
      </c>
    </row>
    <row r="17" spans="1:2" ht="15" customHeight="1">
      <c r="A17" s="77" t="s">
        <v>480</v>
      </c>
      <c r="B17" s="78">
        <f>B15-B16</f>
        <v>792952.57000000007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C812-A5C2-4855-9BD6-B728511DCF28}">
  <dimension ref="A1:G17"/>
  <sheetViews>
    <sheetView workbookViewId="0">
      <selection activeCell="M10" sqref="M10"/>
    </sheetView>
  </sheetViews>
  <sheetFormatPr defaultRowHeight="14.45"/>
  <cols>
    <col min="1" max="1" width="12" bestFit="1" customWidth="1"/>
  </cols>
  <sheetData>
    <row r="1" spans="1:7">
      <c r="A1" s="57" t="s">
        <v>481</v>
      </c>
      <c r="B1" s="71" t="s">
        <v>482</v>
      </c>
      <c r="C1" s="22"/>
      <c r="D1" s="22"/>
      <c r="E1" s="22"/>
      <c r="F1" s="22"/>
      <c r="G1" s="22"/>
    </row>
    <row r="2" spans="1:7">
      <c r="A2" s="58" t="s">
        <v>25</v>
      </c>
      <c r="B2" s="67" t="s">
        <v>483</v>
      </c>
      <c r="C2" s="22"/>
      <c r="D2" s="22"/>
      <c r="E2" s="22"/>
      <c r="F2" s="22"/>
      <c r="G2" s="22"/>
    </row>
    <row r="3" spans="1:7">
      <c r="A3" s="55">
        <v>46056</v>
      </c>
      <c r="B3" s="72">
        <v>3.2</v>
      </c>
      <c r="C3" s="22"/>
      <c r="D3" s="22"/>
      <c r="E3" s="22"/>
      <c r="F3" s="22"/>
      <c r="G3" s="22"/>
    </row>
    <row r="4" spans="1:7">
      <c r="A4" s="55">
        <v>46057</v>
      </c>
      <c r="B4" s="72">
        <v>3.2</v>
      </c>
      <c r="C4" s="22"/>
      <c r="D4" s="22"/>
      <c r="E4" s="22"/>
      <c r="F4" s="22"/>
      <c r="G4" s="22"/>
    </row>
    <row r="5" spans="1:7">
      <c r="A5" s="55">
        <v>46058</v>
      </c>
      <c r="B5" s="72">
        <v>3.5</v>
      </c>
      <c r="C5" s="22"/>
      <c r="D5" s="22"/>
      <c r="E5" s="22"/>
      <c r="F5" s="22"/>
      <c r="G5" s="22"/>
    </row>
    <row r="6" spans="1:7">
      <c r="A6" s="55">
        <v>46059</v>
      </c>
      <c r="B6" s="72">
        <v>3.7</v>
      </c>
      <c r="C6" s="22"/>
      <c r="D6" s="22"/>
      <c r="E6" s="22"/>
      <c r="F6" s="22"/>
      <c r="G6" s="22"/>
    </row>
    <row r="7" spans="1:7">
      <c r="A7" s="55">
        <v>46060</v>
      </c>
      <c r="B7" s="72">
        <v>3.7</v>
      </c>
      <c r="C7" s="22"/>
      <c r="D7" s="22"/>
      <c r="E7" s="22"/>
      <c r="F7" s="22"/>
      <c r="G7" s="22"/>
    </row>
    <row r="8" spans="1:7">
      <c r="A8" s="55">
        <v>46063</v>
      </c>
      <c r="B8" s="72">
        <v>4</v>
      </c>
      <c r="C8" s="22"/>
      <c r="D8" s="22"/>
      <c r="E8" s="22"/>
      <c r="F8" s="22"/>
      <c r="G8" s="22"/>
    </row>
    <row r="9" spans="1:7">
      <c r="A9" s="55">
        <v>46064</v>
      </c>
      <c r="B9" s="72">
        <v>4</v>
      </c>
      <c r="C9" s="22"/>
      <c r="D9" s="22"/>
      <c r="E9" s="22"/>
      <c r="F9" s="22"/>
      <c r="G9" s="22"/>
    </row>
    <row r="10" spans="1:7">
      <c r="A10" s="55">
        <v>46065</v>
      </c>
      <c r="B10" s="72">
        <v>4.2</v>
      </c>
      <c r="C10" s="22"/>
      <c r="D10" s="22"/>
      <c r="E10" s="22"/>
      <c r="F10" s="22"/>
      <c r="G10" s="22"/>
    </row>
    <row r="11" spans="1:7">
      <c r="A11" s="55">
        <v>46066</v>
      </c>
      <c r="B11" s="72">
        <v>4.5</v>
      </c>
      <c r="C11" s="22"/>
      <c r="D11" s="22"/>
      <c r="E11" s="22"/>
      <c r="F11" s="22"/>
      <c r="G11" s="22"/>
    </row>
    <row r="12" spans="1:7">
      <c r="A12" s="22"/>
      <c r="B12" s="22"/>
      <c r="C12" s="22"/>
      <c r="D12" s="22"/>
      <c r="E12" s="22"/>
      <c r="F12" s="22"/>
      <c r="G12" s="22"/>
    </row>
    <row r="13" spans="1:7">
      <c r="A13" s="22"/>
      <c r="B13" s="22"/>
      <c r="C13" s="22"/>
      <c r="D13" s="22"/>
      <c r="E13" s="22"/>
      <c r="F13" s="22"/>
      <c r="G13" s="22"/>
    </row>
    <row r="14" spans="1:7">
      <c r="A14" s="22"/>
      <c r="B14" s="22"/>
      <c r="C14" s="22"/>
      <c r="D14" s="22"/>
      <c r="E14" s="22"/>
      <c r="F14" s="22"/>
      <c r="G14" s="22"/>
    </row>
    <row r="15" spans="1:7">
      <c r="A15" s="22"/>
      <c r="B15" s="22"/>
      <c r="C15" s="22"/>
      <c r="D15" s="22"/>
      <c r="E15" s="22"/>
      <c r="F15" s="22"/>
      <c r="G15" s="22"/>
    </row>
    <row r="16" spans="1:7">
      <c r="A16" s="22"/>
      <c r="B16" s="22"/>
      <c r="C16" s="22"/>
      <c r="D16" s="22"/>
      <c r="E16" s="22"/>
      <c r="F16" s="22"/>
      <c r="G16" s="22"/>
    </row>
    <row r="17" spans="1:7">
      <c r="A17" s="22"/>
      <c r="B17" s="22"/>
      <c r="C17" s="22"/>
      <c r="D17" s="22"/>
      <c r="E17" s="22"/>
      <c r="F17" s="22"/>
      <c r="G17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54C9533A3014183E6B22E76F8A7A8" ma:contentTypeVersion="11" ma:contentTypeDescription="Crie um novo documento." ma:contentTypeScope="" ma:versionID="62704d92a99242f62405766f37cfe174">
  <xsd:schema xmlns:xsd="http://www.w3.org/2001/XMLSchema" xmlns:xs="http://www.w3.org/2001/XMLSchema" xmlns:p="http://schemas.microsoft.com/office/2006/metadata/properties" xmlns:ns2="25b7c34c-a120-4ac3-ab60-c6bebc005a32" xmlns:ns3="2aea894b-94ad-406a-ad4e-500caf6a56d3" targetNamespace="http://schemas.microsoft.com/office/2006/metadata/properties" ma:root="true" ma:fieldsID="e1ec24d789b63e7aafd81facc8b57960" ns2:_="" ns3:_="">
    <xsd:import namespace="25b7c34c-a120-4ac3-ab60-c6bebc005a32"/>
    <xsd:import namespace="2aea894b-94ad-406a-ad4e-500caf6a5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7c34c-a120-4ac3-ab60-c6bebc005a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68e19d-2fdb-46f5-b58a-9774e3dd74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a894b-94ad-406a-ad4e-500caf6a56d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e1f6583-cbcb-4f02-88fa-5f1dc27a8b5d}" ma:internalName="TaxCatchAll" ma:showField="CatchAllData" ma:web="2aea894b-94ad-406a-ad4e-500caf6a5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b7c34c-a120-4ac3-ab60-c6bebc005a32">
      <Terms xmlns="http://schemas.microsoft.com/office/infopath/2007/PartnerControls"/>
    </lcf76f155ced4ddcb4097134ff3c332f>
    <TaxCatchAll xmlns="2aea894b-94ad-406a-ad4e-500caf6a56d3" xsi:nil="true"/>
  </documentManagement>
</p:properties>
</file>

<file path=customXml/itemProps1.xml><?xml version="1.0" encoding="utf-8"?>
<ds:datastoreItem xmlns:ds="http://schemas.openxmlformats.org/officeDocument/2006/customXml" ds:itemID="{72933794-25D3-402C-B4CD-5B50CEB19884}"/>
</file>

<file path=customXml/itemProps2.xml><?xml version="1.0" encoding="utf-8"?>
<ds:datastoreItem xmlns:ds="http://schemas.openxmlformats.org/officeDocument/2006/customXml" ds:itemID="{B2FB2B9C-EC1C-4F74-BCCE-02A14630346E}"/>
</file>

<file path=customXml/itemProps3.xml><?xml version="1.0" encoding="utf-8"?>
<ds:datastoreItem xmlns:ds="http://schemas.openxmlformats.org/officeDocument/2006/customXml" ds:itemID="{07A6E785-FFA4-4B45-919B-A658CFA9E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Fernando Hideo Fujii</cp:lastModifiedBy>
  <cp:revision>0</cp:revision>
  <dcterms:created xsi:type="dcterms:W3CDTF">2026-02-10T13:29:11Z</dcterms:created>
  <dcterms:modified xsi:type="dcterms:W3CDTF">2026-10-14T21:29:57Z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0x0101007CE54C9533A3014183E6B22E76F8A7A8</vt:lpwstr>
  </property>
  <property fmtid="{D5CDD505-2E9C-101B-9397-08002B2CF9AE}" pid="3" name="MediaServiceImageTags">
    <vt:lpwstr/>
  </property>
</Properties>
</file>