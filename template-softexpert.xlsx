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" documentId="11_C24A341F8ED520438A3C56126D326013BF438F93" xr6:coauthVersionLast="47" xr6:coauthVersionMax="47" xr10:uidLastSave="{E81400C7-0DB9-4473-90F8-E73CC09FF491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9" l="1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  <c r="B4" i="1"/>
</calcChain>
</file>

<file path=xl/sharedStrings.xml><?xml version="1.0" encoding="utf-8"?>
<sst xmlns="http://schemas.openxmlformats.org/spreadsheetml/2006/main" count="1003" uniqueCount="361">
  <si>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</si>
  <si>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</si>
  <si>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</si>
  <si>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</si>
  <si>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</si>
  <si>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</si>
  <si>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</si>
  <si>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</si>
  <si>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</si>
  <si>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</si>
  <si>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</si>
  <si>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</si>
  <si>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</si>
  <si>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</si>
  <si>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</si>
  <si>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</si>
  <si>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</si>
  <si>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</si>
  <si>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</si>
  <si>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</si>
  <si>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</si>
  <si>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</si>
  <si>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</si>
  <si>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</si>
  <si>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</si>
  <si>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</si>
  <si>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</si>
  <si>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</si>
  <si>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</si>
  <si>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</si>
  <si>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</si>
  <si>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</si>
  <si>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</si>
  <si>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</si>
  <si>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</si>
  <si>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</si>
  <si>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</si>
  <si>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</si>
  <si>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</si>
  <si>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</si>
  <si>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</si>
  <si>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</si>
  <si>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</si>
  <si>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</si>
  <si>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</si>
  <si>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</si>
  <si>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</si>
  <si>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</si>
  <si>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</si>
  <si>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</si>
  <si>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</si>
  <si>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</si>
  <si>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</si>
  <si>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</si>
  <si>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</si>
  <si>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</si>
  <si>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</si>
  <si>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</si>
  <si>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</si>
  <si>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</si>
  <si>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</si>
  <si>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</si>
  <si>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</si>
  <si>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</si>
  <si>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</si>
  <si>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</si>
  <si>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</si>
  <si>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</si>
  <si>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</si>
  <si>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</si>
  <si>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</si>
  <si>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</si>
  <si>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</si>
  <si>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</si>
  <si>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</si>
  <si>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</si>
  <si>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</si>
  <si>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</si>
  <si>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</si>
  <si>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</si>
  <si>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</si>
  <si>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</si>
  <si>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</si>
  <si>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</si>
  <si>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</si>
  <si>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</si>
  <si>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</si>
  <si>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</si>
  <si>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</si>
  <si>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</si>
  <si>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</si>
  <si>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</si>
  <si>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</si>
  <si>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</si>
  <si>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</si>
  <si>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</si>
  <si>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</si>
  <si>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</si>
  <si>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</si>
  <si>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</si>
  <si>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</si>
  <si>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</si>
  <si>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</si>
  <si>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</si>
  <si>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</si>
  <si>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</si>
  <si>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</si>
  <si>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</si>
  <si>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</si>
  <si>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</si>
  <si>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</si>
  <si>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</si>
  <si>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</si>
  <si>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</si>
  <si>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</si>
  <si>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</si>
  <si>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</si>
  <si>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</si>
  <si>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</si>
  <si>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</si>
  <si>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</si>
  <si>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</si>
  <si>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</si>
  <si>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</si>
  <si>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</si>
  <si>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</si>
  <si>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</si>
  <si>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</si>
  <si>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</si>
  <si>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</si>
  <si>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</si>
  <si>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</si>
  <si>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</si>
  <si>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</si>
  <si>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</si>
  <si>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</si>
  <si>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</si>
  <si>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</si>
  <si>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</si>
  <si>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</si>
  <si>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</si>
  <si>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</si>
  <si>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</si>
  <si>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</si>
  <si>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</si>
  <si>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</si>
  <si>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</si>
  <si>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</si>
  <si>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</si>
  <si>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</si>
  <si>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</si>
  <si>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</si>
  <si>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</si>
  <si>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</si>
  <si>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</si>
  <si>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</si>
  <si>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</si>
  <si>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</si>
  <si>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</si>
  <si>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</si>
  <si>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</si>
  <si>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</si>
  <si>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</si>
  <si>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</si>
  <si>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</si>
  <si>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</si>
  <si>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</si>
  <si>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</si>
  <si>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</si>
  <si>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</si>
  <si>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</si>
  <si>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</si>
  <si>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</si>
  <si>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</si>
  <si>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</si>
  <si>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</si>
  <si>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</si>
  <si>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</si>
  <si>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</si>
  <si>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</si>
  <si>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</si>
  <si>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</si>
  <si>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</si>
  <si>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</si>
  <si>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</si>
  <si>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</si>
  <si>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</si>
  <si>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</si>
  <si>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</si>
  <si>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</si>
  <si>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</si>
  <si>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</si>
  <si>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</si>
  <si>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</si>
  <si>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</si>
  <si>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</si>
  <si>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</si>
  <si>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</si>
  <si>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</si>
  <si>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</si>
  <si>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</si>
  <si>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</si>
  <si>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</si>
  <si>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</si>
  <si>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</si>
  <si>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C12</t>
  </si>
  <si>
    <t>Conquista</t>
  </si>
  <si>
    <t>Gestão de Documentos 100% operacional — 1.200+ documentos migrados, 45 usuários ativos</t>
  </si>
  <si>
    <t>C13</t>
  </si>
  <si>
    <t>Redução de 60% no tempo de busca de documentos</t>
  </si>
  <si>
    <t>Qualidade &amp; Engenharia</t>
  </si>
  <si>
    <t>C14</t>
  </si>
  <si>
    <t>23 processos mapeados em BPM</t>
  </si>
  <si>
    <t>C15</t>
  </si>
  <si>
    <t>100% dos key users capacitados nos módulos da Fase 2</t>
  </si>
  <si>
    <t>Lucas Ferreira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</si>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</sst>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0" fillId="0" borderId="2" xfId="0" applyBorder="1" applyAlignment="1"/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8" fillId="0" borderId="0" xfId="0" applyFont="1" applyAlignment="1"/>
    <xf numFmtId="0" fontId="0" fillId="0" borderId="0" xfId="0" applyAlignment="1"/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0" fillId="0" borderId="3" xfId="0" applyBorder="1" applyAlignment="1"/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20" t="s">
        <v>0</v>
      </c>
      <c r="B1" s="20" t="s">
        <v>1</v>
      </c>
    </row>
    <row r="2" spans="1:2" ht="15" customHeight="1">
      <c r="A2" s="21" t="s">
        <v>2</v>
      </c>
      <c r="B2" s="22" t="s">
        <v>3</v>
      </c>
    </row>
    <row r="3" spans="1:2" ht="23.85" customHeight="1">
      <c r="A3" s="21" t="s">
        <v>4</v>
      </c>
      <c r="B3" s="22" t="s">
        <v>5</v>
      </c>
    </row>
    <row r="4" spans="1:2" ht="15" customHeight="1">
      <c r="A4" s="21" t="s">
        <v>6</v>
      </c>
      <c r="B4" s="23" t="str">
        <f ca="1">TEXT(NOW(),"DD/MM/YYYY")</f>
        <v>13/02/YYYY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tabSelected="1" zoomScaleNormal="100" workbookViewId="0">
      <pane ySplit="2" topLeftCell="A3" activePane="bottomLeft" state="frozen"/>
      <selection pane="bottomLeft" activeCell="B4" sqref="B4"/>
    </sheetView>
  </sheetViews>
  <sheetFormatPr defaultColWidth="8.5703125" defaultRowHeight="14.45"/>
  <cols>
    <col min="1" max="1" width="12" customWidth="1"/>
    <col min="2" max="2" width="13.140625" customWidth="1"/>
    <col min="3" max="3" width="12" customWidth="1"/>
    <col min="4" max="4" width="18.28515625" customWidth="1"/>
    <col min="5" max="5" width="12" customWidth="1"/>
    <col min="6" max="6" width="17" customWidth="1"/>
    <col min="7" max="7" width="14.42578125" customWidth="1"/>
    <col min="8" max="11" width="24.85546875" customWidth="1"/>
  </cols>
  <sheetData>
    <row r="1" spans="1:11" ht="28.5" customHeight="1">
      <c r="A1" s="20" t="s">
        <v>7</v>
      </c>
      <c r="B1" s="20" t="s">
        <v>8</v>
      </c>
      <c r="C1" s="20" t="s">
        <v>9</v>
      </c>
      <c r="D1" s="20" t="s">
        <v>10</v>
      </c>
      <c r="E1" s="20" t="s">
        <v>11</v>
      </c>
      <c r="F1" s="20" t="s">
        <v>12</v>
      </c>
      <c r="G1" s="20" t="s">
        <v>13</v>
      </c>
      <c r="H1" s="20" t="s">
        <v>14</v>
      </c>
      <c r="I1" s="20" t="s">
        <v>15</v>
      </c>
      <c r="J1" s="20" t="s">
        <v>16</v>
      </c>
      <c r="K1" s="20" t="s">
        <v>17</v>
      </c>
    </row>
    <row r="2" spans="1:11" ht="55.5" customHeight="1">
      <c r="A2" s="24" t="s">
        <v>18</v>
      </c>
      <c r="B2" s="24" t="s">
        <v>19</v>
      </c>
      <c r="C2" s="24" t="s">
        <v>20</v>
      </c>
      <c r="D2" s="24" t="s">
        <v>21</v>
      </c>
      <c r="E2" s="24" t="s">
        <v>22</v>
      </c>
      <c r="F2" s="24" t="s">
        <v>23</v>
      </c>
      <c r="G2" s="24" t="s">
        <v>24</v>
      </c>
      <c r="H2" s="24" t="s">
        <v>25</v>
      </c>
      <c r="I2" s="24" t="s">
        <v>25</v>
      </c>
      <c r="J2" s="24" t="s">
        <v>25</v>
      </c>
      <c r="K2" s="24" t="s">
        <v>25</v>
      </c>
    </row>
    <row r="3" spans="1:11" ht="15" customHeight="1">
      <c r="A3" s="25" t="s">
        <v>26</v>
      </c>
      <c r="B3" s="25" t="s">
        <v>27</v>
      </c>
      <c r="C3" s="25" t="s">
        <v>28</v>
      </c>
      <c r="D3" s="25" t="s">
        <v>29</v>
      </c>
      <c r="E3" s="25" t="s">
        <v>30</v>
      </c>
      <c r="F3" s="25" t="s">
        <v>31</v>
      </c>
      <c r="G3" s="26">
        <v>0.1</v>
      </c>
      <c r="H3" s="27">
        <v>45985</v>
      </c>
      <c r="I3" s="27">
        <v>45985</v>
      </c>
      <c r="J3" s="27">
        <v>46101</v>
      </c>
      <c r="K3" s="28"/>
    </row>
    <row r="4" spans="1:11" ht="15" customHeight="1">
      <c r="A4" s="25" t="s">
        <v>32</v>
      </c>
      <c r="B4" s="25" t="s">
        <v>33</v>
      </c>
      <c r="C4" s="25" t="s">
        <v>34</v>
      </c>
      <c r="D4" s="25" t="s">
        <v>29</v>
      </c>
      <c r="E4" s="25" t="s">
        <v>30</v>
      </c>
      <c r="F4" s="25" t="s">
        <v>31</v>
      </c>
      <c r="G4" s="26">
        <v>0.04</v>
      </c>
      <c r="H4" s="27">
        <v>45901</v>
      </c>
      <c r="I4" s="27">
        <v>45901</v>
      </c>
      <c r="J4" s="27">
        <v>46113</v>
      </c>
      <c r="K4" s="25"/>
    </row>
    <row r="5" spans="1:11" ht="24" customHeight="1">
      <c r="A5" s="25" t="s">
        <v>35</v>
      </c>
      <c r="B5" s="25" t="s">
        <v>36</v>
      </c>
      <c r="C5" s="25" t="s">
        <v>37</v>
      </c>
      <c r="D5" s="25" t="s">
        <v>29</v>
      </c>
      <c r="E5" s="25" t="s">
        <v>30</v>
      </c>
      <c r="F5" s="25" t="s">
        <v>31</v>
      </c>
      <c r="G5" s="26">
        <v>0.04</v>
      </c>
      <c r="H5" s="27">
        <v>45901</v>
      </c>
      <c r="I5" s="27">
        <v>45901</v>
      </c>
      <c r="J5" s="27">
        <v>46143</v>
      </c>
      <c r="K5" s="25"/>
    </row>
    <row r="6" spans="1:11" ht="15" customHeight="1">
      <c r="A6" s="25" t="s">
        <v>38</v>
      </c>
      <c r="B6" s="25" t="s">
        <v>39</v>
      </c>
      <c r="C6" s="25" t="s">
        <v>40</v>
      </c>
      <c r="D6" s="25" t="s">
        <v>29</v>
      </c>
      <c r="E6" s="25" t="s">
        <v>41</v>
      </c>
      <c r="F6" s="25" t="s">
        <v>42</v>
      </c>
      <c r="G6" s="26">
        <v>0</v>
      </c>
      <c r="H6" s="27">
        <v>45962</v>
      </c>
      <c r="I6" s="27">
        <v>45962</v>
      </c>
      <c r="J6" s="27">
        <v>46174</v>
      </c>
      <c r="K6" s="25"/>
    </row>
    <row r="7" spans="1:11" ht="15" customHeight="1">
      <c r="A7" s="25" t="s">
        <v>43</v>
      </c>
      <c r="B7" s="25" t="s">
        <v>44</v>
      </c>
      <c r="C7" s="25" t="s">
        <v>44</v>
      </c>
      <c r="D7" s="25" t="s">
        <v>29</v>
      </c>
      <c r="E7" s="25" t="s">
        <v>41</v>
      </c>
      <c r="F7" s="25" t="s">
        <v>42</v>
      </c>
      <c r="G7" s="26">
        <v>0</v>
      </c>
      <c r="H7" s="27">
        <v>45931</v>
      </c>
      <c r="I7" s="27">
        <v>45931</v>
      </c>
      <c r="J7" s="27">
        <v>46204</v>
      </c>
      <c r="K7" s="25"/>
    </row>
    <row r="8" spans="1:11" ht="15" customHeight="1">
      <c r="A8" s="25" t="s">
        <v>45</v>
      </c>
      <c r="B8" s="25" t="s">
        <v>46</v>
      </c>
      <c r="C8" s="25" t="s">
        <v>47</v>
      </c>
      <c r="D8" s="25" t="s">
        <v>29</v>
      </c>
      <c r="E8" s="25" t="s">
        <v>41</v>
      </c>
      <c r="F8" s="25" t="s">
        <v>42</v>
      </c>
      <c r="G8" s="26">
        <v>0</v>
      </c>
      <c r="H8" s="27">
        <v>45992</v>
      </c>
      <c r="I8" s="27">
        <v>45992</v>
      </c>
      <c r="J8" s="27">
        <v>46235</v>
      </c>
      <c r="K8" s="25"/>
    </row>
    <row r="9" spans="1:11" ht="15" customHeight="1">
      <c r="A9" s="25" t="s">
        <v>48</v>
      </c>
      <c r="B9" s="25" t="s">
        <v>49</v>
      </c>
      <c r="C9" s="25" t="s">
        <v>47</v>
      </c>
      <c r="D9" s="25" t="s">
        <v>29</v>
      </c>
      <c r="E9" s="25" t="s">
        <v>41</v>
      </c>
      <c r="F9" s="25" t="s">
        <v>42</v>
      </c>
      <c r="G9" s="26">
        <v>0</v>
      </c>
      <c r="H9" s="27">
        <v>46113</v>
      </c>
      <c r="I9" s="28"/>
      <c r="J9" s="27">
        <v>46296</v>
      </c>
      <c r="K9" s="25"/>
    </row>
    <row r="10" spans="1:11" ht="15" customHeight="1">
      <c r="A10" s="25" t="s">
        <v>50</v>
      </c>
      <c r="B10" s="29" t="s">
        <v>51</v>
      </c>
      <c r="C10" s="25" t="s">
        <v>52</v>
      </c>
      <c r="D10" s="25" t="s">
        <v>29</v>
      </c>
      <c r="E10" s="25" t="s">
        <v>41</v>
      </c>
      <c r="F10" s="25" t="s">
        <v>42</v>
      </c>
      <c r="G10" s="26">
        <v>0</v>
      </c>
      <c r="H10" s="27">
        <v>45992</v>
      </c>
      <c r="I10" s="27">
        <v>45992</v>
      </c>
      <c r="J10" s="27">
        <v>46235</v>
      </c>
      <c r="K10" s="29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F5" sqref="F5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51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51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51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51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51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7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20" t="s">
        <v>53</v>
      </c>
      <c r="B1" s="20" t="s">
        <v>8</v>
      </c>
      <c r="C1" s="20" t="s">
        <v>91</v>
      </c>
      <c r="D1" s="20" t="s">
        <v>92</v>
      </c>
      <c r="E1" s="20" t="s">
        <v>31</v>
      </c>
      <c r="F1" s="20" t="s">
        <v>93</v>
      </c>
      <c r="G1" s="20" t="s">
        <v>94</v>
      </c>
      <c r="H1" s="20" t="s">
        <v>95</v>
      </c>
      <c r="I1" s="20" t="s">
        <v>96</v>
      </c>
    </row>
    <row r="2" spans="1:9" ht="48" customHeight="1">
      <c r="A2" s="24" t="s">
        <v>97</v>
      </c>
      <c r="B2" s="24" t="s">
        <v>18</v>
      </c>
      <c r="C2" s="24" t="s">
        <v>98</v>
      </c>
      <c r="D2" s="24" t="s">
        <v>99</v>
      </c>
      <c r="E2" s="24" t="s">
        <v>100</v>
      </c>
      <c r="F2" s="24" t="s">
        <v>100</v>
      </c>
      <c r="G2" s="24" t="s">
        <v>100</v>
      </c>
      <c r="H2" s="24" t="s">
        <v>100</v>
      </c>
      <c r="I2" s="24" t="s">
        <v>101</v>
      </c>
    </row>
    <row r="3" spans="1:9" ht="23.85" customHeight="1">
      <c r="A3" s="25" t="s">
        <v>26</v>
      </c>
      <c r="B3" s="25" t="s">
        <v>102</v>
      </c>
      <c r="C3" s="25" t="s">
        <v>103</v>
      </c>
      <c r="D3" s="25" t="s">
        <v>95</v>
      </c>
      <c r="E3" s="25" t="s">
        <v>104</v>
      </c>
      <c r="F3" s="25" t="s">
        <v>61</v>
      </c>
      <c r="G3" s="25" t="s">
        <v>61</v>
      </c>
      <c r="H3" s="25" t="s">
        <v>61</v>
      </c>
      <c r="I3" s="29" t="s">
        <v>105</v>
      </c>
    </row>
    <row r="4" spans="1:9" ht="23.85" customHeight="1">
      <c r="A4" s="25" t="s">
        <v>26</v>
      </c>
      <c r="B4" s="25" t="s">
        <v>102</v>
      </c>
      <c r="C4" s="25" t="s">
        <v>106</v>
      </c>
      <c r="D4" s="25" t="s">
        <v>95</v>
      </c>
      <c r="E4" s="25" t="s">
        <v>104</v>
      </c>
      <c r="F4" s="25" t="s">
        <v>61</v>
      </c>
      <c r="G4" s="25" t="s">
        <v>61</v>
      </c>
      <c r="H4" s="25" t="s">
        <v>61</v>
      </c>
      <c r="I4" s="29" t="s">
        <v>105</v>
      </c>
    </row>
    <row r="5" spans="1:9" ht="23.85" customHeight="1">
      <c r="A5" s="25" t="s">
        <v>32</v>
      </c>
      <c r="B5" s="25" t="s">
        <v>107</v>
      </c>
      <c r="C5" s="25" t="s">
        <v>108</v>
      </c>
      <c r="D5" s="25" t="s">
        <v>94</v>
      </c>
      <c r="E5" s="25" t="s">
        <v>104</v>
      </c>
      <c r="F5" s="25" t="s">
        <v>61</v>
      </c>
      <c r="G5" s="25" t="s">
        <v>69</v>
      </c>
      <c r="H5" s="25" t="s">
        <v>104</v>
      </c>
      <c r="I5" s="29" t="s">
        <v>109</v>
      </c>
    </row>
    <row r="6" spans="1:9" ht="35.1" customHeight="1">
      <c r="A6" s="25" t="s">
        <v>32</v>
      </c>
      <c r="B6" s="25" t="s">
        <v>107</v>
      </c>
      <c r="C6" s="25" t="s">
        <v>110</v>
      </c>
      <c r="D6" s="25" t="s">
        <v>94</v>
      </c>
      <c r="E6" s="25" t="s">
        <v>104</v>
      </c>
      <c r="F6" s="25" t="s">
        <v>61</v>
      </c>
      <c r="G6" s="25" t="s">
        <v>69</v>
      </c>
      <c r="H6" s="25" t="s">
        <v>104</v>
      </c>
      <c r="I6" s="29" t="s">
        <v>109</v>
      </c>
    </row>
    <row r="7" spans="1:9" ht="35.1" customHeight="1">
      <c r="A7" s="25" t="s">
        <v>35</v>
      </c>
      <c r="B7" s="25" t="s">
        <v>111</v>
      </c>
      <c r="C7" s="25" t="s">
        <v>112</v>
      </c>
      <c r="D7" s="25" t="s">
        <v>94</v>
      </c>
      <c r="E7" s="25" t="s">
        <v>104</v>
      </c>
      <c r="F7" s="25" t="s">
        <v>61</v>
      </c>
      <c r="G7" s="25" t="s">
        <v>69</v>
      </c>
      <c r="H7" s="25" t="s">
        <v>104</v>
      </c>
      <c r="I7" s="29" t="s">
        <v>113</v>
      </c>
    </row>
    <row r="8" spans="1:9" ht="35.1" customHeight="1">
      <c r="A8" s="25" t="s">
        <v>35</v>
      </c>
      <c r="B8" s="25" t="s">
        <v>111</v>
      </c>
      <c r="C8" s="25" t="s">
        <v>114</v>
      </c>
      <c r="D8" s="25" t="s">
        <v>115</v>
      </c>
      <c r="E8" s="25" t="s">
        <v>104</v>
      </c>
      <c r="F8" s="25" t="s">
        <v>69</v>
      </c>
      <c r="G8" s="25" t="s">
        <v>104</v>
      </c>
      <c r="H8" s="25" t="s">
        <v>104</v>
      </c>
      <c r="I8" s="29" t="s">
        <v>113</v>
      </c>
    </row>
    <row r="9" spans="1:9" ht="23.85" customHeight="1">
      <c r="A9" s="25" t="s">
        <v>38</v>
      </c>
      <c r="B9" s="25" t="s">
        <v>116</v>
      </c>
      <c r="C9" s="25" t="s">
        <v>117</v>
      </c>
      <c r="D9" s="25" t="s">
        <v>115</v>
      </c>
      <c r="E9" s="25" t="s">
        <v>104</v>
      </c>
      <c r="F9" s="25" t="s">
        <v>69</v>
      </c>
      <c r="G9" s="25" t="s">
        <v>104</v>
      </c>
      <c r="H9" s="25" t="s">
        <v>104</v>
      </c>
      <c r="I9" s="29" t="s">
        <v>118</v>
      </c>
    </row>
    <row r="10" spans="1:9" ht="23.85" customHeight="1">
      <c r="A10" s="25" t="s">
        <v>38</v>
      </c>
      <c r="B10" s="25" t="s">
        <v>116</v>
      </c>
      <c r="C10" s="25" t="s">
        <v>119</v>
      </c>
      <c r="D10" s="25" t="s">
        <v>42</v>
      </c>
      <c r="E10" s="25" t="s">
        <v>104</v>
      </c>
      <c r="F10" s="25" t="s">
        <v>104</v>
      </c>
      <c r="G10" s="25" t="s">
        <v>104</v>
      </c>
      <c r="H10" s="25" t="s">
        <v>104</v>
      </c>
      <c r="I10" s="29" t="s">
        <v>118</v>
      </c>
    </row>
    <row r="11" spans="1:9" ht="23.85" customHeight="1">
      <c r="A11" s="25" t="s">
        <v>43</v>
      </c>
      <c r="B11" s="25" t="s">
        <v>120</v>
      </c>
      <c r="C11" s="25" t="s">
        <v>121</v>
      </c>
      <c r="D11" s="25" t="s">
        <v>94</v>
      </c>
      <c r="E11" s="25" t="s">
        <v>104</v>
      </c>
      <c r="F11" s="25" t="s">
        <v>61</v>
      </c>
      <c r="G11" s="25" t="s">
        <v>69</v>
      </c>
      <c r="H11" s="25" t="s">
        <v>104</v>
      </c>
      <c r="I11" s="29" t="s">
        <v>122</v>
      </c>
    </row>
    <row r="12" spans="1:9" ht="23.85" customHeight="1">
      <c r="A12" s="25" t="s">
        <v>43</v>
      </c>
      <c r="B12" s="25" t="s">
        <v>120</v>
      </c>
      <c r="C12" s="25" t="s">
        <v>123</v>
      </c>
      <c r="D12" s="25" t="s">
        <v>115</v>
      </c>
      <c r="E12" s="25" t="s">
        <v>104</v>
      </c>
      <c r="F12" s="25" t="s">
        <v>69</v>
      </c>
      <c r="G12" s="25" t="s">
        <v>104</v>
      </c>
      <c r="H12" s="25" t="s">
        <v>104</v>
      </c>
      <c r="I12" s="29" t="s">
        <v>122</v>
      </c>
    </row>
    <row r="13" spans="1:9" ht="23.85" customHeight="1">
      <c r="A13" s="25" t="s">
        <v>45</v>
      </c>
      <c r="B13" s="25" t="s">
        <v>124</v>
      </c>
      <c r="C13" s="25" t="s">
        <v>125</v>
      </c>
      <c r="D13" s="25" t="s">
        <v>115</v>
      </c>
      <c r="E13" s="25" t="s">
        <v>104</v>
      </c>
      <c r="F13" s="25" t="s">
        <v>69</v>
      </c>
      <c r="G13" s="25" t="s">
        <v>104</v>
      </c>
      <c r="H13" s="25" t="s">
        <v>104</v>
      </c>
      <c r="I13" s="29" t="s">
        <v>126</v>
      </c>
    </row>
    <row r="14" spans="1:9" ht="23.85" customHeight="1">
      <c r="A14" s="25" t="s">
        <v>48</v>
      </c>
      <c r="B14" s="25" t="s">
        <v>127</v>
      </c>
      <c r="C14" s="25" t="s">
        <v>128</v>
      </c>
      <c r="D14" s="25" t="s">
        <v>41</v>
      </c>
      <c r="E14" s="25" t="s">
        <v>104</v>
      </c>
      <c r="F14" s="25" t="s">
        <v>104</v>
      </c>
      <c r="G14" s="25" t="s">
        <v>104</v>
      </c>
      <c r="H14" s="25" t="s">
        <v>104</v>
      </c>
      <c r="I14" s="29" t="s">
        <v>129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20" t="s">
        <v>7</v>
      </c>
      <c r="B1" s="20" t="s">
        <v>130</v>
      </c>
      <c r="C1" s="20" t="s">
        <v>131</v>
      </c>
      <c r="D1" s="20" t="s">
        <v>132</v>
      </c>
      <c r="E1" s="20" t="s">
        <v>133</v>
      </c>
      <c r="F1" s="20" t="s">
        <v>134</v>
      </c>
      <c r="G1" s="20" t="s">
        <v>135</v>
      </c>
      <c r="H1" s="20" t="s">
        <v>136</v>
      </c>
      <c r="I1" s="20" t="s">
        <v>10</v>
      </c>
      <c r="J1" s="20" t="s">
        <v>11</v>
      </c>
      <c r="K1" s="20" t="s">
        <v>137</v>
      </c>
    </row>
    <row r="2" spans="1:11" ht="48" customHeight="1">
      <c r="A2" s="24" t="s">
        <v>18</v>
      </c>
      <c r="B2" s="24" t="s">
        <v>138</v>
      </c>
      <c r="C2" s="24" t="s">
        <v>139</v>
      </c>
      <c r="D2" s="24" t="s">
        <v>19</v>
      </c>
      <c r="E2" s="24" t="s">
        <v>140</v>
      </c>
      <c r="F2" s="24" t="s">
        <v>141</v>
      </c>
      <c r="G2" s="24" t="s">
        <v>142</v>
      </c>
      <c r="H2" s="24" t="s">
        <v>143</v>
      </c>
      <c r="I2" s="24" t="s">
        <v>101</v>
      </c>
      <c r="J2" s="24" t="s">
        <v>144</v>
      </c>
      <c r="K2" s="24" t="s">
        <v>25</v>
      </c>
    </row>
    <row r="3" spans="1:11" ht="35.1" customHeight="1">
      <c r="A3" s="25" t="s">
        <v>145</v>
      </c>
      <c r="B3" s="25" t="s">
        <v>146</v>
      </c>
      <c r="C3" s="25" t="s">
        <v>147</v>
      </c>
      <c r="D3" s="25" t="s">
        <v>116</v>
      </c>
      <c r="E3" s="25" t="s">
        <v>148</v>
      </c>
      <c r="F3" s="25" t="s">
        <v>148</v>
      </c>
      <c r="G3" s="25" t="s">
        <v>149</v>
      </c>
      <c r="H3" s="25" t="s">
        <v>150</v>
      </c>
      <c r="I3" s="25" t="s">
        <v>118</v>
      </c>
      <c r="J3" s="25" t="s">
        <v>151</v>
      </c>
      <c r="K3" s="25" t="s">
        <v>152</v>
      </c>
    </row>
    <row r="4" spans="1:11" ht="24.75" customHeight="1">
      <c r="A4" s="25" t="s">
        <v>153</v>
      </c>
      <c r="B4" s="25" t="s">
        <v>146</v>
      </c>
      <c r="C4" s="25" t="s">
        <v>154</v>
      </c>
      <c r="D4" s="25" t="s">
        <v>111</v>
      </c>
      <c r="E4" s="25" t="s">
        <v>148</v>
      </c>
      <c r="F4" s="25" t="s">
        <v>148</v>
      </c>
      <c r="G4" s="25" t="s">
        <v>155</v>
      </c>
      <c r="H4" s="25" t="s">
        <v>156</v>
      </c>
      <c r="I4" s="25" t="s">
        <v>157</v>
      </c>
      <c r="J4" s="25" t="s">
        <v>151</v>
      </c>
      <c r="K4" s="25" t="s">
        <v>158</v>
      </c>
    </row>
    <row r="5" spans="1:11" ht="35.1" customHeight="1">
      <c r="A5" s="25" t="s">
        <v>159</v>
      </c>
      <c r="B5" s="25" t="s">
        <v>146</v>
      </c>
      <c r="C5" s="25" t="s">
        <v>160</v>
      </c>
      <c r="D5" s="25" t="s">
        <v>102</v>
      </c>
      <c r="E5" s="25" t="s">
        <v>161</v>
      </c>
      <c r="F5" s="25" t="s">
        <v>161</v>
      </c>
      <c r="G5" s="25" t="s">
        <v>162</v>
      </c>
      <c r="H5" s="25" t="s">
        <v>163</v>
      </c>
      <c r="I5" s="25" t="s">
        <v>105</v>
      </c>
      <c r="J5" s="25" t="s">
        <v>164</v>
      </c>
      <c r="K5" s="25" t="s">
        <v>165</v>
      </c>
    </row>
    <row r="6" spans="1:11" ht="24.75" customHeight="1">
      <c r="A6" s="25" t="s">
        <v>166</v>
      </c>
      <c r="B6" s="25" t="s">
        <v>146</v>
      </c>
      <c r="C6" s="25" t="s">
        <v>167</v>
      </c>
      <c r="D6" s="25" t="s">
        <v>111</v>
      </c>
      <c r="E6" s="25" t="s">
        <v>161</v>
      </c>
      <c r="F6" s="25" t="s">
        <v>161</v>
      </c>
      <c r="G6" s="25" t="s">
        <v>168</v>
      </c>
      <c r="H6" s="25" t="s">
        <v>169</v>
      </c>
      <c r="I6" s="25" t="s">
        <v>113</v>
      </c>
      <c r="J6" s="25" t="s">
        <v>164</v>
      </c>
      <c r="K6" s="25" t="s">
        <v>170</v>
      </c>
    </row>
    <row r="7" spans="1:11" ht="24.75" customHeight="1">
      <c r="A7" s="25" t="s">
        <v>171</v>
      </c>
      <c r="B7" s="25" t="s">
        <v>146</v>
      </c>
      <c r="C7" s="25" t="s">
        <v>172</v>
      </c>
      <c r="D7" s="25" t="s">
        <v>124</v>
      </c>
      <c r="E7" s="25" t="s">
        <v>173</v>
      </c>
      <c r="F7" s="25" t="s">
        <v>173</v>
      </c>
      <c r="G7" s="25" t="s">
        <v>155</v>
      </c>
      <c r="H7" s="25" t="s">
        <v>174</v>
      </c>
      <c r="I7" s="25" t="s">
        <v>126</v>
      </c>
      <c r="J7" s="25" t="s">
        <v>164</v>
      </c>
      <c r="K7" s="25" t="s">
        <v>175</v>
      </c>
    </row>
    <row r="8" spans="1:11" ht="24.75" customHeight="1">
      <c r="A8" s="25" t="s">
        <v>176</v>
      </c>
      <c r="B8" s="25" t="s">
        <v>177</v>
      </c>
      <c r="C8" s="25" t="s">
        <v>178</v>
      </c>
      <c r="D8" s="25" t="s">
        <v>127</v>
      </c>
      <c r="E8" s="25" t="s">
        <v>148</v>
      </c>
      <c r="F8" s="25" t="s">
        <v>179</v>
      </c>
      <c r="G8" s="25" t="s">
        <v>168</v>
      </c>
      <c r="H8" s="25" t="s">
        <v>180</v>
      </c>
      <c r="I8" s="25" t="s">
        <v>181</v>
      </c>
      <c r="J8" s="25" t="s">
        <v>182</v>
      </c>
      <c r="K8" s="25" t="s">
        <v>183</v>
      </c>
    </row>
    <row r="9" spans="1:11" ht="24.75" customHeight="1">
      <c r="A9" s="25" t="s">
        <v>184</v>
      </c>
      <c r="B9" s="25" t="s">
        <v>177</v>
      </c>
      <c r="C9" s="25" t="s">
        <v>185</v>
      </c>
      <c r="D9" s="25" t="s">
        <v>186</v>
      </c>
      <c r="E9" s="25" t="s">
        <v>161</v>
      </c>
      <c r="F9" s="25" t="s">
        <v>161</v>
      </c>
      <c r="G9" s="25" t="s">
        <v>149</v>
      </c>
      <c r="H9" s="25" t="s">
        <v>187</v>
      </c>
      <c r="I9" s="25" t="s">
        <v>188</v>
      </c>
      <c r="J9" s="25" t="s">
        <v>189</v>
      </c>
      <c r="K9" s="25" t="s">
        <v>190</v>
      </c>
    </row>
    <row r="10" spans="1:11" ht="46.35" customHeight="1">
      <c r="A10" s="25" t="s">
        <v>191</v>
      </c>
      <c r="B10" s="25" t="s">
        <v>177</v>
      </c>
      <c r="C10" s="25" t="s">
        <v>192</v>
      </c>
      <c r="D10" s="25" t="s">
        <v>111</v>
      </c>
      <c r="E10" s="25" t="s">
        <v>161</v>
      </c>
      <c r="F10" s="25" t="s">
        <v>161</v>
      </c>
      <c r="G10" s="25" t="s">
        <v>155</v>
      </c>
      <c r="H10" s="25" t="s">
        <v>193</v>
      </c>
      <c r="I10" s="25" t="s">
        <v>113</v>
      </c>
      <c r="J10" s="25" t="s">
        <v>189</v>
      </c>
      <c r="K10" s="25" t="s">
        <v>158</v>
      </c>
    </row>
    <row r="11" spans="1:11" ht="57.6" customHeight="1">
      <c r="A11" s="29" t="s">
        <v>194</v>
      </c>
      <c r="B11" s="29" t="s">
        <v>195</v>
      </c>
      <c r="C11" s="29" t="s">
        <v>196</v>
      </c>
      <c r="D11" s="29"/>
      <c r="E11" s="29"/>
      <c r="F11" s="29"/>
      <c r="G11" s="29"/>
      <c r="H11" s="29"/>
      <c r="I11" s="29" t="s">
        <v>197</v>
      </c>
      <c r="J11" s="29" t="s">
        <v>104</v>
      </c>
      <c r="K11" s="29" t="s">
        <v>198</v>
      </c>
    </row>
    <row r="12" spans="1:11" ht="57.6" customHeight="1">
      <c r="A12" s="29" t="s">
        <v>199</v>
      </c>
      <c r="B12" s="29" t="s">
        <v>195</v>
      </c>
      <c r="C12" s="29" t="s">
        <v>200</v>
      </c>
      <c r="D12" s="29"/>
      <c r="E12" s="29"/>
      <c r="F12" s="29"/>
      <c r="G12" s="29"/>
      <c r="H12" s="29"/>
      <c r="I12" s="29" t="s">
        <v>197</v>
      </c>
      <c r="J12" s="29" t="s">
        <v>104</v>
      </c>
      <c r="K12" s="29" t="s">
        <v>201</v>
      </c>
    </row>
    <row r="13" spans="1:11" ht="68.650000000000006" customHeight="1">
      <c r="A13" s="29" t="s">
        <v>202</v>
      </c>
      <c r="B13" s="29" t="s">
        <v>195</v>
      </c>
      <c r="C13" s="29" t="s">
        <v>203</v>
      </c>
      <c r="D13" s="29"/>
      <c r="E13" s="29"/>
      <c r="F13" s="29"/>
      <c r="G13" s="29"/>
      <c r="H13" s="29"/>
      <c r="I13" s="29" t="s">
        <v>197</v>
      </c>
      <c r="J13" s="29" t="s">
        <v>104</v>
      </c>
      <c r="K13" s="29" t="s">
        <v>204</v>
      </c>
    </row>
    <row r="14" spans="1:11" ht="79.900000000000006" customHeight="1">
      <c r="A14" s="29" t="s">
        <v>205</v>
      </c>
      <c r="B14" s="29" t="s">
        <v>206</v>
      </c>
      <c r="C14" s="29" t="s">
        <v>207</v>
      </c>
      <c r="D14" s="29"/>
      <c r="E14" s="29"/>
      <c r="F14" s="29"/>
      <c r="G14" s="29"/>
      <c r="H14" s="29"/>
      <c r="I14" s="29" t="s">
        <v>105</v>
      </c>
      <c r="J14" s="29" t="s">
        <v>61</v>
      </c>
      <c r="K14" s="29" t="s">
        <v>63</v>
      </c>
    </row>
    <row r="15" spans="1:11" ht="46.35" customHeight="1">
      <c r="A15" s="29" t="s">
        <v>208</v>
      </c>
      <c r="B15" s="29" t="s">
        <v>206</v>
      </c>
      <c r="C15" s="29" t="s">
        <v>209</v>
      </c>
      <c r="D15" s="29"/>
      <c r="E15" s="29"/>
      <c r="F15" s="29"/>
      <c r="G15" s="29"/>
      <c r="H15" s="29"/>
      <c r="I15" s="29" t="s">
        <v>210</v>
      </c>
      <c r="J15" s="29" t="s">
        <v>61</v>
      </c>
      <c r="K15" s="29" t="s">
        <v>63</v>
      </c>
    </row>
    <row r="16" spans="1:11" ht="35.1" customHeight="1">
      <c r="A16" s="29" t="s">
        <v>211</v>
      </c>
      <c r="B16" s="29" t="s">
        <v>206</v>
      </c>
      <c r="C16" s="29" t="s">
        <v>212</v>
      </c>
      <c r="D16" s="29"/>
      <c r="E16" s="29"/>
      <c r="F16" s="29"/>
      <c r="G16" s="29"/>
      <c r="H16" s="29"/>
      <c r="I16" s="29" t="s">
        <v>113</v>
      </c>
      <c r="J16" s="29" t="s">
        <v>61</v>
      </c>
      <c r="K16" s="29" t="s">
        <v>74</v>
      </c>
    </row>
    <row r="17" spans="1:11" ht="46.35" customHeight="1">
      <c r="A17" s="29" t="s">
        <v>213</v>
      </c>
      <c r="B17" s="29" t="s">
        <v>206</v>
      </c>
      <c r="C17" s="29" t="s">
        <v>214</v>
      </c>
      <c r="D17" s="29"/>
      <c r="E17" s="29"/>
      <c r="F17" s="29"/>
      <c r="G17" s="29"/>
      <c r="H17" s="29"/>
      <c r="I17" s="29" t="s">
        <v>215</v>
      </c>
      <c r="J17" s="29" t="s">
        <v>61</v>
      </c>
      <c r="K17" s="29" t="s">
        <v>68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20" t="s">
        <v>216</v>
      </c>
      <c r="B1" s="20" t="s">
        <v>217</v>
      </c>
      <c r="C1" s="20" t="s">
        <v>101</v>
      </c>
      <c r="D1" s="20" t="s">
        <v>218</v>
      </c>
      <c r="E1" s="20" t="s">
        <v>9</v>
      </c>
    </row>
    <row r="2" spans="1:5" ht="44.25" customHeight="1">
      <c r="A2" s="24" t="s">
        <v>219</v>
      </c>
      <c r="B2" s="24" t="s">
        <v>220</v>
      </c>
      <c r="C2" s="24" t="s">
        <v>221</v>
      </c>
      <c r="D2" s="24" t="s">
        <v>222</v>
      </c>
      <c r="E2" s="24" t="s">
        <v>223</v>
      </c>
    </row>
    <row r="3" spans="1:5" ht="24" customHeight="1">
      <c r="A3" s="30" t="s">
        <v>224</v>
      </c>
      <c r="B3" s="30" t="s">
        <v>225</v>
      </c>
      <c r="C3" s="30" t="s">
        <v>226</v>
      </c>
      <c r="D3" s="30" t="s">
        <v>227</v>
      </c>
      <c r="E3" s="30" t="s">
        <v>197</v>
      </c>
    </row>
    <row r="4" spans="1:5" ht="35.1" customHeight="1">
      <c r="A4" s="30" t="s">
        <v>228</v>
      </c>
      <c r="B4" s="30" t="s">
        <v>229</v>
      </c>
      <c r="C4" s="30" t="s">
        <v>230</v>
      </c>
      <c r="D4" s="30" t="s">
        <v>231</v>
      </c>
      <c r="E4" s="30" t="s">
        <v>34</v>
      </c>
    </row>
    <row r="5" spans="1:5" ht="24" customHeight="1">
      <c r="A5" s="30" t="s">
        <v>228</v>
      </c>
      <c r="B5" s="30" t="s">
        <v>229</v>
      </c>
      <c r="C5" s="30" t="s">
        <v>232</v>
      </c>
      <c r="D5" s="30" t="s">
        <v>233</v>
      </c>
      <c r="E5" s="30" t="s">
        <v>234</v>
      </c>
    </row>
    <row r="6" spans="1:5" ht="23.85" customHeight="1">
      <c r="A6" s="30" t="s">
        <v>228</v>
      </c>
      <c r="B6" s="30" t="s">
        <v>229</v>
      </c>
      <c r="C6" s="30" t="s">
        <v>235</v>
      </c>
      <c r="D6" s="30" t="s">
        <v>236</v>
      </c>
      <c r="E6" s="30" t="s">
        <v>237</v>
      </c>
    </row>
    <row r="7" spans="1:5" ht="23.85" customHeight="1">
      <c r="A7" s="30" t="s">
        <v>228</v>
      </c>
      <c r="B7" s="30" t="s">
        <v>229</v>
      </c>
      <c r="C7" s="30" t="s">
        <v>238</v>
      </c>
      <c r="D7" s="30" t="s">
        <v>239</v>
      </c>
      <c r="E7" s="30" t="s">
        <v>240</v>
      </c>
    </row>
    <row r="8" spans="1:5" ht="24" customHeight="1">
      <c r="A8" s="30" t="s">
        <v>241</v>
      </c>
      <c r="B8" s="30" t="s">
        <v>242</v>
      </c>
      <c r="C8" s="30" t="s">
        <v>243</v>
      </c>
      <c r="D8" s="30" t="s">
        <v>244</v>
      </c>
      <c r="E8" s="31" t="s">
        <v>37</v>
      </c>
    </row>
    <row r="9" spans="1:5" ht="23.85" customHeight="1">
      <c r="A9" s="30" t="s">
        <v>241</v>
      </c>
      <c r="B9" s="30" t="s">
        <v>242</v>
      </c>
      <c r="C9" s="30" t="s">
        <v>245</v>
      </c>
      <c r="D9" s="30" t="s">
        <v>242</v>
      </c>
      <c r="E9" s="30" t="s">
        <v>237</v>
      </c>
    </row>
    <row r="10" spans="1:5" ht="23.85" customHeight="1">
      <c r="A10" s="30" t="s">
        <v>241</v>
      </c>
      <c r="B10" s="30" t="s">
        <v>246</v>
      </c>
      <c r="C10" s="30" t="s">
        <v>29</v>
      </c>
      <c r="D10" s="30" t="s">
        <v>247</v>
      </c>
      <c r="E10" s="30" t="s">
        <v>237</v>
      </c>
    </row>
    <row r="11" spans="1:5" ht="23.85" customHeight="1">
      <c r="A11" s="30" t="s">
        <v>241</v>
      </c>
      <c r="B11" s="30" t="s">
        <v>242</v>
      </c>
      <c r="C11" s="30" t="s">
        <v>248</v>
      </c>
      <c r="D11" s="30" t="s">
        <v>249</v>
      </c>
      <c r="E11" s="30" t="s">
        <v>250</v>
      </c>
    </row>
    <row r="12" spans="1:5" ht="35.1" customHeight="1">
      <c r="A12" s="30" t="s">
        <v>241</v>
      </c>
      <c r="B12" s="30" t="s">
        <v>242</v>
      </c>
      <c r="C12" s="30" t="s">
        <v>251</v>
      </c>
      <c r="D12" s="30" t="s">
        <v>252</v>
      </c>
      <c r="E12" s="31" t="s">
        <v>253</v>
      </c>
    </row>
    <row r="13" spans="1:5" ht="35.1" customHeight="1">
      <c r="A13" s="30" t="s">
        <v>254</v>
      </c>
      <c r="B13" s="30" t="s">
        <v>255</v>
      </c>
      <c r="C13" s="30" t="s">
        <v>256</v>
      </c>
      <c r="D13" s="30" t="s">
        <v>255</v>
      </c>
      <c r="E13" s="30" t="s">
        <v>237</v>
      </c>
    </row>
    <row r="14" spans="1:5" ht="35.1" customHeight="1">
      <c r="A14" s="30" t="s">
        <v>254</v>
      </c>
      <c r="B14" s="30" t="s">
        <v>257</v>
      </c>
      <c r="C14" s="30" t="s">
        <v>258</v>
      </c>
      <c r="D14" s="30" t="s">
        <v>257</v>
      </c>
      <c r="E14" s="30" t="s">
        <v>237</v>
      </c>
    </row>
    <row r="15" spans="1:5" ht="23.85" customHeight="1">
      <c r="A15" s="30" t="s">
        <v>259</v>
      </c>
      <c r="B15" s="30" t="s">
        <v>260</v>
      </c>
      <c r="C15" s="30" t="s">
        <v>261</v>
      </c>
      <c r="D15" s="30" t="s">
        <v>260</v>
      </c>
      <c r="E15" s="30" t="s">
        <v>237</v>
      </c>
    </row>
    <row r="16" spans="1:5" ht="23.85" customHeight="1">
      <c r="A16" s="30" t="s">
        <v>259</v>
      </c>
      <c r="B16" s="30"/>
      <c r="C16" s="30" t="s">
        <v>228</v>
      </c>
      <c r="D16" s="30"/>
      <c r="E16" s="30"/>
    </row>
    <row r="17" spans="1:5" ht="23.85" customHeight="1">
      <c r="A17" s="30" t="s">
        <v>259</v>
      </c>
      <c r="B17" s="30"/>
      <c r="C17" s="30" t="s">
        <v>262</v>
      </c>
      <c r="D17" s="30"/>
      <c r="E17" s="30"/>
    </row>
    <row r="18" spans="1:5" ht="23.85" customHeight="1">
      <c r="A18" s="30" t="s">
        <v>263</v>
      </c>
      <c r="B18" s="30" t="s">
        <v>264</v>
      </c>
      <c r="C18" s="30" t="s">
        <v>265</v>
      </c>
      <c r="D18" s="30" t="s">
        <v>264</v>
      </c>
      <c r="E18" s="30" t="s">
        <v>237</v>
      </c>
    </row>
    <row r="19" spans="1:5" ht="23.85" customHeight="1">
      <c r="A19" s="30" t="s">
        <v>263</v>
      </c>
      <c r="B19" s="30" t="s">
        <v>264</v>
      </c>
      <c r="C19" s="30" t="s">
        <v>266</v>
      </c>
      <c r="D19" s="30" t="s">
        <v>264</v>
      </c>
      <c r="E19" s="30" t="s">
        <v>237</v>
      </c>
    </row>
    <row r="20" spans="1:5" ht="35.1" customHeight="1">
      <c r="A20" s="30" t="s">
        <v>263</v>
      </c>
      <c r="B20" s="30" t="s">
        <v>264</v>
      </c>
      <c r="C20" s="30" t="s">
        <v>267</v>
      </c>
      <c r="D20" s="30" t="s">
        <v>264</v>
      </c>
      <c r="E20" s="30" t="s">
        <v>237</v>
      </c>
    </row>
    <row r="21" spans="1:5" ht="23.85" customHeight="1">
      <c r="A21" s="30" t="s">
        <v>263</v>
      </c>
      <c r="B21" s="30" t="s">
        <v>268</v>
      </c>
      <c r="C21" s="30" t="s">
        <v>248</v>
      </c>
      <c r="D21" s="25"/>
      <c r="E21" s="25" t="s">
        <v>250</v>
      </c>
    </row>
    <row r="22" spans="1:5" ht="23.85" customHeight="1">
      <c r="A22" s="25" t="s">
        <v>263</v>
      </c>
      <c r="B22" s="30" t="s">
        <v>242</v>
      </c>
      <c r="C22" s="30" t="s">
        <v>269</v>
      </c>
      <c r="D22" s="25"/>
      <c r="E22" s="25" t="s">
        <v>250</v>
      </c>
    </row>
    <row r="23" spans="1:5" ht="23.85" customHeight="1">
      <c r="A23" s="25" t="s">
        <v>263</v>
      </c>
      <c r="B23" s="25" t="s">
        <v>270</v>
      </c>
      <c r="C23" s="25" t="s">
        <v>271</v>
      </c>
      <c r="D23" s="25"/>
      <c r="E23" s="25" t="s">
        <v>250</v>
      </c>
    </row>
    <row r="24" spans="1:5" ht="24" customHeight="1">
      <c r="A24" s="25" t="s">
        <v>263</v>
      </c>
      <c r="B24" s="25" t="s">
        <v>272</v>
      </c>
      <c r="C24" s="25" t="s">
        <v>273</v>
      </c>
      <c r="D24" s="25"/>
      <c r="E24" s="25" t="s">
        <v>253</v>
      </c>
    </row>
    <row r="25" spans="1:5" ht="15" customHeight="1">
      <c r="A25" s="25" t="s">
        <v>263</v>
      </c>
      <c r="B25" s="25"/>
      <c r="C25" s="25"/>
      <c r="D25" s="25"/>
      <c r="E25" s="25" t="s">
        <v>253</v>
      </c>
    </row>
    <row r="26" spans="1:5" ht="15" customHeight="1">
      <c r="A26" s="25" t="s">
        <v>263</v>
      </c>
      <c r="B26" s="25"/>
      <c r="C26" s="25"/>
      <c r="D26" s="25"/>
      <c r="E26" s="25" t="s">
        <v>253</v>
      </c>
    </row>
    <row r="27" spans="1:5" ht="15" customHeight="1">
      <c r="A27" s="25" t="s">
        <v>263</v>
      </c>
      <c r="B27" s="25"/>
      <c r="C27" s="25"/>
      <c r="D27" s="25"/>
      <c r="E27" s="25" t="s">
        <v>253</v>
      </c>
    </row>
    <row r="28" spans="1:5" ht="15" customHeight="1">
      <c r="A28" s="25" t="s">
        <v>263</v>
      </c>
      <c r="B28" s="25"/>
      <c r="C28" s="25"/>
      <c r="D28" s="25"/>
      <c r="E28" s="25" t="s">
        <v>253</v>
      </c>
    </row>
    <row r="29" spans="1:5" ht="23.85" customHeight="1">
      <c r="A29" s="25" t="s">
        <v>263</v>
      </c>
      <c r="B29" s="25" t="s">
        <v>274</v>
      </c>
      <c r="C29" s="25" t="s">
        <v>275</v>
      </c>
      <c r="D29" s="25" t="s">
        <v>276</v>
      </c>
      <c r="E29" s="25" t="s">
        <v>277</v>
      </c>
    </row>
    <row r="30" spans="1:5" ht="35.1" customHeight="1">
      <c r="A30" s="25" t="s">
        <v>263</v>
      </c>
      <c r="B30" s="25" t="s">
        <v>278</v>
      </c>
      <c r="C30" s="25" t="s">
        <v>279</v>
      </c>
      <c r="D30" s="25" t="s">
        <v>280</v>
      </c>
      <c r="E30" s="25" t="s">
        <v>277</v>
      </c>
    </row>
    <row r="31" spans="1:5" ht="23.85" customHeight="1">
      <c r="A31" s="25" t="s">
        <v>263</v>
      </c>
      <c r="B31" s="25" t="s">
        <v>274</v>
      </c>
      <c r="C31" s="25" t="s">
        <v>281</v>
      </c>
      <c r="D31" s="25" t="s">
        <v>282</v>
      </c>
      <c r="E31" s="25" t="s">
        <v>240</v>
      </c>
    </row>
    <row r="32" spans="1:5" ht="24" customHeight="1">
      <c r="A32" s="25" t="s">
        <v>263</v>
      </c>
      <c r="B32" s="25" t="s">
        <v>274</v>
      </c>
      <c r="C32" s="25" t="s">
        <v>283</v>
      </c>
      <c r="D32" s="25" t="s">
        <v>284</v>
      </c>
      <c r="E32" s="25" t="s">
        <v>34</v>
      </c>
    </row>
    <row r="33" spans="1:5" ht="35.1" customHeight="1">
      <c r="A33" s="25" t="s">
        <v>263</v>
      </c>
      <c r="B33" s="29" t="s">
        <v>278</v>
      </c>
      <c r="C33" s="29" t="s">
        <v>285</v>
      </c>
      <c r="D33" s="29" t="s">
        <v>286</v>
      </c>
      <c r="E33" s="25" t="s">
        <v>34</v>
      </c>
    </row>
    <row r="34" spans="1:5" ht="35.1" customHeight="1">
      <c r="A34" s="25" t="s">
        <v>263</v>
      </c>
      <c r="B34" s="29" t="s">
        <v>274</v>
      </c>
      <c r="C34" s="29" t="s">
        <v>287</v>
      </c>
      <c r="D34" s="29" t="s">
        <v>288</v>
      </c>
      <c r="E34" s="25" t="s">
        <v>34</v>
      </c>
    </row>
    <row r="35" spans="1:5" ht="24" customHeight="1">
      <c r="A35" s="25" t="s">
        <v>263</v>
      </c>
      <c r="B35" s="29" t="s">
        <v>274</v>
      </c>
      <c r="C35" s="30" t="s">
        <v>289</v>
      </c>
      <c r="D35" s="30" t="s">
        <v>290</v>
      </c>
      <c r="E35" s="30" t="s">
        <v>291</v>
      </c>
    </row>
    <row r="36" spans="1:5" ht="15" customHeight="1">
      <c r="A36" s="25" t="s">
        <v>263</v>
      </c>
      <c r="B36" s="29" t="s">
        <v>274</v>
      </c>
      <c r="C36" s="30" t="s">
        <v>292</v>
      </c>
      <c r="D36" s="30" t="s">
        <v>290</v>
      </c>
      <c r="E36" s="30" t="s">
        <v>293</v>
      </c>
    </row>
    <row r="37" spans="1:5" ht="23.85" customHeight="1">
      <c r="A37" s="25" t="s">
        <v>263</v>
      </c>
      <c r="B37" s="29" t="s">
        <v>274</v>
      </c>
      <c r="C37" s="30" t="s">
        <v>294</v>
      </c>
      <c r="D37" s="30" t="s">
        <v>290</v>
      </c>
      <c r="E37" s="30" t="s">
        <v>295</v>
      </c>
    </row>
    <row r="38" spans="1:5" ht="23.85" customHeight="1">
      <c r="A38" s="25" t="s">
        <v>263</v>
      </c>
      <c r="B38" s="29" t="s">
        <v>274</v>
      </c>
      <c r="C38" s="30" t="s">
        <v>296</v>
      </c>
      <c r="D38" s="30" t="s">
        <v>290</v>
      </c>
      <c r="E38" s="30" t="s">
        <v>297</v>
      </c>
    </row>
    <row r="39" spans="1:5" ht="23.85" customHeight="1">
      <c r="A39" s="25" t="s">
        <v>263</v>
      </c>
      <c r="B39" s="29" t="s">
        <v>274</v>
      </c>
      <c r="C39" s="30" t="s">
        <v>298</v>
      </c>
      <c r="D39" s="30" t="s">
        <v>290</v>
      </c>
      <c r="E39" s="30" t="s">
        <v>299</v>
      </c>
    </row>
    <row r="40" spans="1:5" ht="23.85" customHeight="1">
      <c r="A40" s="25" t="s">
        <v>263</v>
      </c>
      <c r="B40" s="29" t="s">
        <v>274</v>
      </c>
      <c r="C40" s="30" t="s">
        <v>300</v>
      </c>
      <c r="D40" s="30" t="s">
        <v>290</v>
      </c>
      <c r="E40" s="30" t="s">
        <v>301</v>
      </c>
    </row>
    <row r="41" spans="1:5" ht="15" customHeight="1">
      <c r="A41" s="25" t="s">
        <v>263</v>
      </c>
      <c r="B41" s="29" t="s">
        <v>274</v>
      </c>
      <c r="C41" s="30" t="s">
        <v>302</v>
      </c>
      <c r="D41" s="30" t="s">
        <v>290</v>
      </c>
      <c r="E41" s="30" t="s">
        <v>186</v>
      </c>
    </row>
    <row r="42" spans="1:5" ht="23.85" customHeight="1">
      <c r="A42" s="25" t="s">
        <v>263</v>
      </c>
      <c r="B42" s="29" t="s">
        <v>274</v>
      </c>
      <c r="C42" s="30" t="s">
        <v>303</v>
      </c>
      <c r="D42" s="30" t="s">
        <v>290</v>
      </c>
      <c r="E42" s="30" t="s">
        <v>304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20" t="s">
        <v>305</v>
      </c>
      <c r="B1" s="20" t="s">
        <v>306</v>
      </c>
      <c r="C1" s="20" t="s">
        <v>307</v>
      </c>
      <c r="D1" s="20" t="s">
        <v>308</v>
      </c>
      <c r="E1" s="20" t="s">
        <v>309</v>
      </c>
      <c r="F1" s="20" t="s">
        <v>310</v>
      </c>
      <c r="G1" s="20" t="s">
        <v>311</v>
      </c>
    </row>
    <row r="2" spans="1:7" ht="14.25" customHeight="1">
      <c r="A2" s="24" t="s">
        <v>312</v>
      </c>
      <c r="B2" s="24" t="s">
        <v>313</v>
      </c>
      <c r="C2" s="24" t="s">
        <v>313</v>
      </c>
      <c r="D2" s="24" t="s">
        <v>313</v>
      </c>
      <c r="E2" s="24" t="s">
        <v>313</v>
      </c>
      <c r="F2" s="24" t="s">
        <v>313</v>
      </c>
      <c r="G2" s="24" t="s">
        <v>313</v>
      </c>
    </row>
    <row r="3" spans="1:7" ht="35.1" customHeight="1">
      <c r="A3" s="32" t="s">
        <v>314</v>
      </c>
      <c r="B3" s="33" t="s">
        <v>315</v>
      </c>
      <c r="C3" s="34" t="s">
        <v>316</v>
      </c>
      <c r="D3" s="35" t="s">
        <v>317</v>
      </c>
      <c r="E3" s="34" t="s">
        <v>316</v>
      </c>
      <c r="F3" s="36" t="s">
        <v>318</v>
      </c>
      <c r="G3" s="34" t="s">
        <v>316</v>
      </c>
    </row>
    <row r="4" spans="1:7" ht="23.85" customHeight="1">
      <c r="A4" s="32" t="s">
        <v>72</v>
      </c>
      <c r="B4" s="36" t="s">
        <v>318</v>
      </c>
      <c r="C4" s="36" t="s">
        <v>318</v>
      </c>
      <c r="D4" s="33" t="s">
        <v>315</v>
      </c>
      <c r="E4" s="34" t="s">
        <v>316</v>
      </c>
      <c r="F4" s="36" t="s">
        <v>318</v>
      </c>
      <c r="G4" s="35" t="s">
        <v>317</v>
      </c>
    </row>
    <row r="5" spans="1:7" ht="35.1" customHeight="1">
      <c r="A5" s="32" t="s">
        <v>319</v>
      </c>
      <c r="B5" s="36" t="s">
        <v>318</v>
      </c>
      <c r="C5" s="36" t="s">
        <v>318</v>
      </c>
      <c r="D5" s="33" t="s">
        <v>315</v>
      </c>
      <c r="E5" s="34" t="s">
        <v>316</v>
      </c>
      <c r="F5" s="34" t="s">
        <v>316</v>
      </c>
      <c r="G5" s="35" t="s">
        <v>317</v>
      </c>
    </row>
    <row r="6" spans="1:7" ht="23.85" customHeight="1">
      <c r="A6" s="32" t="s">
        <v>320</v>
      </c>
      <c r="B6" s="33" t="s">
        <v>315</v>
      </c>
      <c r="C6" s="34" t="s">
        <v>316</v>
      </c>
      <c r="D6" s="34" t="s">
        <v>316</v>
      </c>
      <c r="E6" s="36" t="s">
        <v>318</v>
      </c>
      <c r="F6" s="35" t="s">
        <v>317</v>
      </c>
      <c r="G6" s="36" t="s">
        <v>318</v>
      </c>
    </row>
    <row r="7" spans="1:7" ht="35.1" customHeight="1">
      <c r="A7" s="32" t="s">
        <v>321</v>
      </c>
      <c r="B7" s="34" t="s">
        <v>316</v>
      </c>
      <c r="C7" s="33" t="s">
        <v>315</v>
      </c>
      <c r="D7" s="35" t="s">
        <v>317</v>
      </c>
      <c r="E7" s="36" t="s">
        <v>318</v>
      </c>
      <c r="F7" s="36" t="s">
        <v>318</v>
      </c>
      <c r="G7" s="34" t="s">
        <v>316</v>
      </c>
    </row>
    <row r="8" spans="1:7" ht="23.85" customHeight="1">
      <c r="A8" s="32" t="s">
        <v>322</v>
      </c>
      <c r="B8" s="36" t="s">
        <v>318</v>
      </c>
      <c r="C8" s="36" t="s">
        <v>318</v>
      </c>
      <c r="D8" s="33" t="s">
        <v>315</v>
      </c>
      <c r="E8" s="34" t="s">
        <v>316</v>
      </c>
      <c r="F8" s="36" t="s">
        <v>318</v>
      </c>
      <c r="G8" s="35" t="s">
        <v>317</v>
      </c>
    </row>
    <row r="9" spans="1:7" ht="35.1" customHeight="1">
      <c r="A9" s="32" t="s">
        <v>323</v>
      </c>
      <c r="B9" s="36" t="s">
        <v>318</v>
      </c>
      <c r="C9" s="34" t="s">
        <v>316</v>
      </c>
      <c r="D9" s="33" t="s">
        <v>315</v>
      </c>
      <c r="E9" s="35" t="s">
        <v>317</v>
      </c>
      <c r="F9" s="36" t="s">
        <v>318</v>
      </c>
      <c r="G9" s="34" t="s">
        <v>316</v>
      </c>
    </row>
    <row r="10" spans="1:7" ht="23.85" customHeight="1">
      <c r="A10" s="32" t="s">
        <v>67</v>
      </c>
      <c r="B10" s="33" t="s">
        <v>315</v>
      </c>
      <c r="C10" s="36" t="s">
        <v>318</v>
      </c>
      <c r="D10" s="35" t="s">
        <v>317</v>
      </c>
      <c r="E10" s="34" t="s">
        <v>316</v>
      </c>
      <c r="F10" s="34" t="s">
        <v>316</v>
      </c>
      <c r="G10" s="34" t="s">
        <v>316</v>
      </c>
    </row>
    <row r="11" spans="1:7" ht="35.1" customHeight="1">
      <c r="A11" s="32" t="s">
        <v>324</v>
      </c>
      <c r="B11" s="36" t="s">
        <v>318</v>
      </c>
      <c r="C11" s="33" t="s">
        <v>315</v>
      </c>
      <c r="D11" s="35" t="s">
        <v>317</v>
      </c>
      <c r="E11" s="34" t="s">
        <v>316</v>
      </c>
      <c r="F11" s="36" t="s">
        <v>318</v>
      </c>
      <c r="G11" s="34" t="s">
        <v>316</v>
      </c>
    </row>
    <row r="12" spans="1:7" ht="35.1" customHeight="1">
      <c r="A12" s="32" t="s">
        <v>325</v>
      </c>
      <c r="B12" s="33" t="s">
        <v>315</v>
      </c>
      <c r="C12" s="35" t="s">
        <v>317</v>
      </c>
      <c r="D12" s="34" t="s">
        <v>316</v>
      </c>
      <c r="E12" s="36" t="s">
        <v>318</v>
      </c>
      <c r="F12" s="36" t="s">
        <v>318</v>
      </c>
      <c r="G12" s="36" t="s">
        <v>318</v>
      </c>
    </row>
    <row r="13" spans="1:7" ht="14.25" customHeight="1">
      <c r="A13" s="29"/>
      <c r="B13" s="29"/>
      <c r="C13" s="29"/>
      <c r="D13" s="29"/>
      <c r="E13" s="29"/>
      <c r="F13" s="29"/>
      <c r="G13" s="29"/>
    </row>
    <row r="14" spans="1:7" ht="27.75" customHeight="1">
      <c r="A14" s="32" t="s">
        <v>326</v>
      </c>
      <c r="B14" s="35" t="s">
        <v>327</v>
      </c>
      <c r="C14" s="33" t="s">
        <v>328</v>
      </c>
      <c r="D14" s="34" t="s">
        <v>329</v>
      </c>
      <c r="E14" s="36" t="s">
        <v>330</v>
      </c>
      <c r="F14" s="29"/>
      <c r="G14" s="2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20" t="s">
        <v>331</v>
      </c>
      <c r="B1" s="20" t="s">
        <v>332</v>
      </c>
      <c r="C1" s="20" t="s">
        <v>333</v>
      </c>
      <c r="D1" s="20" t="s">
        <v>334</v>
      </c>
    </row>
    <row r="2" spans="1:4" ht="22.35" customHeight="1">
      <c r="A2" s="24" t="s">
        <v>335</v>
      </c>
      <c r="B2" s="24">
        <v>8</v>
      </c>
      <c r="C2" s="24">
        <v>9</v>
      </c>
      <c r="D2" s="37">
        <f>B2/C2</f>
        <v>0.88888888888888884</v>
      </c>
    </row>
    <row r="3" spans="1:4" ht="23.85" customHeight="1">
      <c r="A3" s="32" t="s">
        <v>336</v>
      </c>
      <c r="B3" s="25">
        <v>67</v>
      </c>
      <c r="C3" s="25">
        <v>150</v>
      </c>
      <c r="D3" s="26">
        <f>B3/C3</f>
        <v>0.44666666666666666</v>
      </c>
    </row>
    <row r="4" spans="1:4" ht="35.1" customHeight="1">
      <c r="A4" s="32" t="s">
        <v>337</v>
      </c>
      <c r="B4" s="25">
        <v>18</v>
      </c>
      <c r="C4" s="25">
        <v>35</v>
      </c>
      <c r="D4" s="26">
        <f>B4/C4</f>
        <v>0.51428571428571423</v>
      </c>
    </row>
    <row r="5" spans="1:4" ht="35.1" customHeight="1">
      <c r="A5" s="32" t="s">
        <v>338</v>
      </c>
      <c r="B5" s="25">
        <v>78</v>
      </c>
      <c r="C5" s="25">
        <v>100</v>
      </c>
      <c r="D5" s="26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19" t="s">
        <v>339</v>
      </c>
      <c r="B1" s="38"/>
      <c r="C1" s="4"/>
      <c r="D1" s="4"/>
    </row>
    <row r="2" spans="1:5" ht="14.25" customHeight="1">
      <c r="A2" s="39" t="s">
        <v>0</v>
      </c>
      <c r="B2" s="40" t="s">
        <v>340</v>
      </c>
      <c r="C2" s="5"/>
      <c r="D2" s="6"/>
    </row>
    <row r="3" spans="1:5" ht="14.25" customHeight="1">
      <c r="A3" s="41" t="s">
        <v>341</v>
      </c>
      <c r="B3" s="42">
        <v>1200000</v>
      </c>
      <c r="C3" s="5"/>
      <c r="D3" s="6"/>
    </row>
    <row r="4" spans="1:5" ht="14.25" customHeight="1">
      <c r="A4" s="41" t="s">
        <v>342</v>
      </c>
      <c r="B4" s="42">
        <v>620000</v>
      </c>
      <c r="C4" s="5"/>
      <c r="D4" s="6"/>
    </row>
    <row r="5" spans="1:5" ht="14.25" customHeight="1">
      <c r="A5" s="41" t="s">
        <v>343</v>
      </c>
      <c r="B5" s="42">
        <v>380000</v>
      </c>
      <c r="C5" s="5"/>
      <c r="D5" s="6"/>
    </row>
    <row r="6" spans="1:5" ht="14.25" customHeight="1">
      <c r="A6" s="41" t="s">
        <v>344</v>
      </c>
      <c r="B6" s="42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43" t="s">
        <v>345</v>
      </c>
      <c r="B8" s="44"/>
      <c r="C8" s="44"/>
      <c r="D8" s="44"/>
    </row>
    <row r="9" spans="1:5" ht="15" customHeight="1">
      <c r="A9" s="45" t="s">
        <v>135</v>
      </c>
      <c r="B9" s="45" t="s">
        <v>346</v>
      </c>
      <c r="C9" s="45" t="s">
        <v>342</v>
      </c>
      <c r="D9" s="45" t="s">
        <v>347</v>
      </c>
    </row>
    <row r="10" spans="1:5" ht="27.75" customHeight="1">
      <c r="A10" s="46" t="s">
        <v>348</v>
      </c>
      <c r="B10" s="47">
        <v>450000</v>
      </c>
      <c r="C10" s="47">
        <v>420000</v>
      </c>
      <c r="D10" s="48">
        <f t="shared" ref="D10:D15" si="0">IF(B10=0,0,C10/B10)</f>
        <v>0.93333333333333335</v>
      </c>
      <c r="E10" s="4"/>
    </row>
    <row r="11" spans="1:5" ht="14.25" customHeight="1">
      <c r="A11" s="41" t="s">
        <v>349</v>
      </c>
      <c r="B11" s="49">
        <v>350000</v>
      </c>
      <c r="C11" s="49">
        <v>280000</v>
      </c>
      <c r="D11" s="50">
        <f t="shared" si="0"/>
        <v>0.8</v>
      </c>
      <c r="E11" s="10"/>
    </row>
    <row r="12" spans="1:5" ht="14.25" customHeight="1">
      <c r="A12" s="41" t="s">
        <v>350</v>
      </c>
      <c r="B12" s="49">
        <v>120000</v>
      </c>
      <c r="C12" s="49">
        <v>95000</v>
      </c>
      <c r="D12" s="50">
        <f t="shared" si="0"/>
        <v>0.79166666666666663</v>
      </c>
      <c r="E12" s="10"/>
    </row>
    <row r="13" spans="1:5" ht="14.25" customHeight="1">
      <c r="A13" s="41" t="s">
        <v>351</v>
      </c>
      <c r="B13" s="49">
        <v>180000</v>
      </c>
      <c r="C13" s="49">
        <v>155000</v>
      </c>
      <c r="D13" s="50">
        <f t="shared" si="0"/>
        <v>0.86111111111111116</v>
      </c>
      <c r="E13" s="10"/>
    </row>
    <row r="14" spans="1:5" ht="14.25" customHeight="1">
      <c r="A14" s="41" t="s">
        <v>352</v>
      </c>
      <c r="B14" s="49">
        <v>100000</v>
      </c>
      <c r="C14" s="49">
        <v>50000</v>
      </c>
      <c r="D14" s="50">
        <f t="shared" si="0"/>
        <v>0.5</v>
      </c>
      <c r="E14" s="10"/>
    </row>
    <row r="15" spans="1:5" ht="14.25" customHeight="1">
      <c r="A15" s="51" t="s">
        <v>353</v>
      </c>
      <c r="B15" s="52">
        <f>SUM(B10:B14)</f>
        <v>1200000</v>
      </c>
      <c r="C15" s="52">
        <f>SUM(C10:C14)</f>
        <v>1000000</v>
      </c>
      <c r="D15" s="53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18" t="s">
        <v>354</v>
      </c>
      <c r="B17" s="54"/>
      <c r="C17" s="54"/>
      <c r="D17" s="54"/>
      <c r="E17" s="38"/>
    </row>
    <row r="18" spans="1:5" ht="14.25" customHeight="1">
      <c r="A18" s="45" t="s">
        <v>355</v>
      </c>
      <c r="B18" s="45" t="s">
        <v>356</v>
      </c>
      <c r="C18" s="45" t="s">
        <v>342</v>
      </c>
      <c r="D18" s="45" t="s">
        <v>357</v>
      </c>
      <c r="E18" s="45" t="s">
        <v>358</v>
      </c>
    </row>
    <row r="19" spans="1:5" ht="14.25" customHeight="1">
      <c r="A19" s="55" t="s">
        <v>359</v>
      </c>
      <c r="B19" s="56">
        <v>80000</v>
      </c>
      <c r="C19" s="56">
        <v>85000</v>
      </c>
      <c r="D19" s="56">
        <f t="shared" ref="D19:D25" si="1">C19-B19</f>
        <v>5000</v>
      </c>
      <c r="E19" s="57">
        <f t="shared" ref="E19:E25" si="2">IF(B19=0,0,(C19-B19)/B19)</f>
        <v>6.25E-2</v>
      </c>
    </row>
    <row r="20" spans="1:5" ht="14.25" customHeight="1">
      <c r="A20" s="55" t="s">
        <v>360</v>
      </c>
      <c r="B20" s="56">
        <v>90000</v>
      </c>
      <c r="C20" s="56">
        <v>95000</v>
      </c>
      <c r="D20" s="56">
        <f t="shared" si="1"/>
        <v>5000</v>
      </c>
      <c r="E20" s="57">
        <f t="shared" si="2"/>
        <v>5.5555555555555552E-2</v>
      </c>
    </row>
    <row r="21" spans="1:5" ht="14.25" customHeight="1">
      <c r="A21" s="55" t="s">
        <v>71</v>
      </c>
      <c r="B21" s="56">
        <v>85000</v>
      </c>
      <c r="C21" s="56">
        <v>75000</v>
      </c>
      <c r="D21" s="56">
        <f t="shared" si="1"/>
        <v>-10000</v>
      </c>
      <c r="E21" s="57">
        <f t="shared" si="2"/>
        <v>-0.11764705882352941</v>
      </c>
    </row>
    <row r="22" spans="1:5" ht="14.25" customHeight="1">
      <c r="A22" s="55" t="s">
        <v>66</v>
      </c>
      <c r="B22" s="56">
        <v>100000</v>
      </c>
      <c r="C22" s="56">
        <v>110000</v>
      </c>
      <c r="D22" s="56">
        <f t="shared" si="1"/>
        <v>10000</v>
      </c>
      <c r="E22" s="57">
        <f t="shared" si="2"/>
        <v>0.1</v>
      </c>
    </row>
    <row r="23" spans="1:5" ht="14.25" customHeight="1">
      <c r="A23" s="55" t="s">
        <v>60</v>
      </c>
      <c r="B23" s="56">
        <v>95000</v>
      </c>
      <c r="C23" s="56">
        <v>105000</v>
      </c>
      <c r="D23" s="56">
        <f t="shared" si="1"/>
        <v>10000</v>
      </c>
      <c r="E23" s="57">
        <f t="shared" si="2"/>
        <v>0.10526315789473684</v>
      </c>
    </row>
    <row r="24" spans="1:5" ht="14.25" customHeight="1">
      <c r="A24" s="55" t="s">
        <v>68</v>
      </c>
      <c r="B24" s="56">
        <v>100000</v>
      </c>
      <c r="C24" s="56">
        <v>90000</v>
      </c>
      <c r="D24" s="56">
        <f t="shared" si="1"/>
        <v>-10000</v>
      </c>
      <c r="E24" s="57">
        <f t="shared" si="2"/>
        <v>-0.1</v>
      </c>
    </row>
    <row r="25" spans="1:5" ht="14.25" customHeight="1">
      <c r="A25" s="55" t="s">
        <v>63</v>
      </c>
      <c r="B25" s="56">
        <v>80000</v>
      </c>
      <c r="C25" s="56">
        <v>60000</v>
      </c>
      <c r="D25" s="56">
        <f t="shared" si="1"/>
        <v>-20000</v>
      </c>
      <c r="E25" s="57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2026-02-13T14:55:46Z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