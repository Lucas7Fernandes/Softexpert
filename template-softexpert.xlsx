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86" documentId="11_C24A341F8ED520438A3C56126D326013BF438F93" xr6:coauthVersionLast="47" xr6:coauthVersionMax="47" xr10:uidLastSave="{71E057D4-EBCF-430A-BD61-81AF740A3659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7" i="9"/>
  <c r="B15" i="9"/>
  <c r="B4" i="1"/>
  <c r="D5" i="8"/>
  <c r="D4" i="8"/>
  <c r="D3" i="8"/>
  <c r="D2" i="8"/>
</calcChain>
</file>

<file path=xl/sharedStrings.xml><?xml version="1.0" encoding="utf-8"?>
<sst xmlns="http://schemas.openxmlformats.org/spreadsheetml/2006/main" count="1695" uniqueCount="484">
  <si>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</si>
  <si>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</si>
  <si>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</si>
  <si>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</si>
  <si>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</si>
  <si>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</si>
  <si>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</si>
  <si>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</si>
  <si>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</si>
  <si>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</si>
  <si>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</si>
  <si>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</si>
  <si>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</si>
  <si>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</si>
  <si>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</si>
  <si>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</si>
  <si>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</si>
  <si>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</si>
  <si>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</si>
  <si>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</si>
  <si>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</si>
  <si>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</si>
  <si>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</si>
  <si>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</si>
  <si>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</si>
  <si>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</si>
  <si>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</si>
  <si>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</si>
  <si>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</si>
  <si>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</si>
  <si>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</si>
  <si>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</si>
  <si>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</si>
  <si>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</si>
  <si>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</si>
  <si>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</si>
  <si>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</si>
  <si>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</si>
  <si>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</si>
  <si>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</si>
  <si>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</si>
  <si>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</si>
  <si>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</si>
  <si>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</si>
  <si>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</si>
  <si>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</si>
  <si>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</si>
  <si>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</si>
  <si>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</si>
  <si>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</si>
  <si>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</si>
  <si>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</si>
  <si>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</si>
  <si>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</si>
  <si>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</si>
  <si>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</si>
  <si>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</si>
  <si>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</si>
  <si>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</si>
  <si>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</si>
  <si>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</si>
  <si>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</si>
  <si>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</si>
  <si>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</si>
  <si>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</si>
  <si>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</si>
  <si>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</si>
  <si>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</si>
  <si>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</si>
  <si>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</si>
  <si>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</si>
  <si>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</si>
  <si>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</si>
  <si>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</si>
  <si>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</si>
  <si>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</si>
  <si>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</si>
  <si>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</si>
  <si>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</si>
  <si>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</si>
  <si>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</si>
  <si>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</si>
  <si>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</si>
  <si>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</si>
  <si>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</si>
  <si>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</si>
  <si>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</si>
  <si>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</si>
  <si>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</si>
  <si>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</si>
  <si>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</si>
  <si>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</si>
  <si>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</si>
  <si>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</si>
  <si>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</si>
  <si>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</si>
  <si>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</si>
  <si>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</si>
  <si>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</si>
  <si>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</si>
  <si>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</si>
  <si>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</si>
  <si>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</si>
  <si>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</si>
  <si>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</si>
  <si>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</si>
  <si>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</si>
  <si>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</si>
  <si>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</si>
  <si>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</si>
  <si>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</si>
  <si>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</si>
  <si>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</si>
  <si>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</si>
  <si>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</si>
  <si>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</si>
  <si>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</si>
  <si>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</si>
  <si>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</si>
  <si>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</si>
  <si>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</si>
  <si>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</si>
  <si>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</si>
  <si>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</si>
  <si>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</si>
  <si>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</si>
  <si>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</si>
  <si>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</si>
  <si>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</si>
  <si>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</si>
  <si>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</si>
  <si>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</si>
  <si>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</si>
  <si>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</si>
  <si>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</si>
  <si>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</si>
  <si>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</si>
  <si>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</si>
  <si>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</si>
  <si>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</si>
  <si>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</si>
  <si>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</si>
  <si>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</si>
  <si>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</si>
  <si>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</si>
  <si>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</si>
  <si>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</si>
  <si>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</si>
  <si>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</si>
  <si>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</si>
  <si>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</si>
  <si>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</si>
  <si>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</si>
  <si>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</si>
  <si>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</si>
  <si>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</si>
  <si>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</si>
  <si>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</si>
  <si>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</si>
  <si>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</si>
  <si>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</si>
  <si>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</si>
  <si>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</si>
  <si>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</si>
  <si>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</si>
  <si>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</si>
  <si>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</si>
  <si>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</si>
  <si>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</si>
  <si>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</si>
  <si>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</si>
  <si>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</si>
  <si>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</si>
  <si>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</si>
  <si>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</si>
  <si>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</si>
  <si>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</si>
  <si>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</si>
  <si>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</si>
  <si>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</si>
  <si>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</si>
  <si>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</si>
  <si>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</si>
  <si>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</si>
  <si>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</si>
  <si>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</si>
  <si>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</si>
  <si>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</si>
  <si>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</si>
  <si>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</si>
  <si>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</si>
  <si>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</si>
  <si>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</si>
  <si>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</si>
  <si>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</si>
  <si>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</si>
  <si>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</si>
  <si>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</si>
  <si>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</si>
  <si>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</si>
  <si>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</si>
  <si>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</si>
  <si>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</si>
  <si>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</si>
  <si>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</si>
  <si>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</si>
  <si>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</si>
  <si>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</si>
  <si>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</si>
  <si>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</si>
  <si>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</si>
  <si>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</si>
  <si>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</si>
  <si>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</si>
  <si>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</si>
  <si>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</si>
  <si>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</si>
  <si>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</si>
  <si>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</si>
  <si>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</si>
  <si>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</si>
  <si>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</si>
  <si>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</si>
  <si>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</si>
  <si>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</si>
  <si>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</si>
  <si>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</si>
  <si>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</si>
  <si>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</si>
  <si>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</si>
  <si>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</si>
  <si>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</si>
  <si>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</si>
  <si>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</si>
  <si>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</si>
  <si>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</si>
  <si>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</si>
  <si>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</si>
  <si>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</si>
  <si>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</si>
  <si>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</si>
  <si>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</si>
  <si>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</si>
  <si>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</si>
  <si>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</si>
  <si>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</si>
  <si>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</si>
  <si>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</si>
  <si>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</si>
  <si>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</si>
  <si>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</si>
  <si>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</si>
  <si>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</si>
  <si>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</si>
  <si>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</si>
  <si>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</si>
  <si>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</si>
  <si>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</si>
  <si>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</si>
  <si>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</si>
  <si>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</si>
  <si>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</si>
  <si>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</si>
  <si>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</si>
  <si>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</si>
  <si>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</si>
  <si>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</si>
  <si>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</si>
  <si>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</si>
  <si>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</si>
  <si>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</si>
  <si>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</si>
  <si>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</si>
  <si>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</si>
  <si>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</si>
  <si>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</si>
  <si>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</si>
  <si>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</si>
  <si>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</si>
  <si>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</si>
  <si>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</si>
  <si>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</si>
  <si>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</si>
  <si>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</si>
  <si>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</si>
  <si>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</si>
  <si>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</si>
  <si>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</si>
  <si>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</si>
  <si>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</si>
  <si>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</si>
  <si>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</si>
  <si>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</si>
  <si>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</si>
  <si>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</si>
  <si>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</si>
  <si>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</si>
  <si>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</si>
  <si>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</si>
  <si>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</si>
  <si>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</si>
  <si>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</si>
  <si>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</si>
  <si>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</si>
  <si>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</si>
  <si>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</si>
  <si>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</si>
  <si>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</si>
  <si>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</si>
  <si>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</si>
  <si>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</si>
  <si>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</si>
  <si>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</si>
  <si>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</si>
  <si>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</si>
  <si>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</si>
  <si>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</si>
  <si>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</si>
  <si>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</si>
  <si>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</si>
  <si>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</si>
  <si>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</si>
  <si>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</si>
  <si>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</si>
  <si>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</si>
  <si>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</si>
  <si>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</si>
  <si>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</si>
  <si>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</si>
  <si>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</si>
  <si>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</si>
  <si>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</si>
  <si>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</si>
  <si>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</si>
  <si>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</si>
  <si>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</si>
  <si>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</si>
  <si>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</si>
  <si>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</si>
  <si>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</si>
  <si>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</si>
  <si>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</si>
  <si>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</si>
  <si>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</si>
  <si>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</si>
  <si>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</si>
  <si>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</si>
  <si>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</si>
  <si>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</si>
  <si>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</si>
  <si>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</si>
  <si>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</si>
  <si>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</si>
  <si>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</si>
  <si>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</si>
  <si>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</si>
  <si>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</si>
  <si>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</si>
  <si>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</si>
  <si>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</si>
  <si>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</si>
  <si>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</si>
  <si>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</si>
  <si>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</si>
  <si>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</si>
  <si>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</si>
  <si>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</si>
  <si>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</si>
  <si>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</si>
  <si>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</si>
  <si>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</si>
  <si>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</si>
  <si>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</si>
  <si>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</si>
  <si>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</si>
  <si>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</si>
  <si>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</si>
  <si>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</si>
  <si>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</si>
  <si>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</si>
  <si>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</si>
  <si>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</si>
  <si>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</si>
  <si>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</si>
  <si>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</si>
  <si>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</si>
  <si>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</si>
  <si>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</si>
  <si>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</si>
  <si>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</si>
  <si>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</si>
  <si>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</si>
  <si>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</si>
  <si>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</si>
  <si>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</si>
  <si>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</si>
  <si>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</si>
  <si>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</si>
  <si>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</si>
  <si>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</si>
  <si>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</si>
  <si>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</si>
  <si>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</si>
  <si>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</si>
  <si>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</si>
  <si>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</si>
  <si>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</si>
  <si>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</si>
  <si>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</si>
  <si>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</si>
  <si>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</si>
  <si>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</si>
  <si>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</si>
  <si>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</si>
  <si>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</si>
  <si>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</si>
  <si>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</si>
  <si>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</si>
  <si>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</si>
  <si>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</si>
  <si>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</si>
  <si>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</si>
  <si>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</si>
  <si>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</si>
  <si>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</si>
  <si>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</si>
  <si>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</si>
  <si>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</si>
  <si>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</si>
  <si>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</si>
  <si>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</si>
  <si>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</si>
  <si>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</si>
  <si>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</si>
  <si>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</si>
  <si>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</si>
  <si>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</si>
  <si>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</si>
  <si>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</si>
  <si>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</si>
  <si>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</si>
  <si>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</si>
  <si>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</si>
  <si>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</si>
  <si>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</si>
  <si>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</si>
  <si>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</si>
  <si>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</si>
  <si>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</si>
  <si>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</si>
  <si>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</si>
  <si>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</si>
  <si>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</si>
  <si>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</si>
  <si>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</si>
  <si>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</si>
  <si>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</si>
  <si>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</si>
  <si>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</si>
  <si>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</si>
  <si>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</si>
  <si>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</si>
  <si>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</si>
  <si>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</si>
  <si>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</si>
  <si>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</si>
  <si>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</si>
  <si>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</si>
  <si>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</si>
  <si>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</si>
  <si>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</si>
  <si>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</si>
  <si>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</si>
  <si>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</si>
  <si>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</si>
  <si>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</si>
  <si>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</si>
  <si>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</si>
  <si>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</si>
  <si>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Orçado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</si>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</sst>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  <font>
      <b/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9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  <xf numFmtId="0" fontId="18" fillId="16" borderId="0" xfId="0" applyFont="1" applyFill="1"/>
    <xf numFmtId="165" fontId="18" fillId="16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04/08/2026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3" t="s">
        <v>114</v>
      </c>
      <c r="D21" s="75" t="s">
        <v>115</v>
      </c>
      <c r="E21" s="33" t="s">
        <v>115</v>
      </c>
      <c r="F21" s="75" t="s">
        <v>116</v>
      </c>
      <c r="G21" s="33" t="s">
        <v>117</v>
      </c>
      <c r="H21" s="74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3" t="s">
        <v>90</v>
      </c>
      <c r="D22" s="75" t="s">
        <v>118</v>
      </c>
      <c r="E22" s="33" t="s">
        <v>117</v>
      </c>
      <c r="F22" s="75" t="s">
        <v>119</v>
      </c>
      <c r="G22" s="33" t="s">
        <v>117</v>
      </c>
      <c r="H22" s="74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3" t="s">
        <v>103</v>
      </c>
      <c r="D23" s="75" t="s">
        <v>120</v>
      </c>
      <c r="E23" s="33" t="s">
        <v>117</v>
      </c>
      <c r="F23" s="75" t="s">
        <v>121</v>
      </c>
      <c r="G23" s="33" t="s">
        <v>117</v>
      </c>
      <c r="H23" s="74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3" t="s">
        <v>122</v>
      </c>
      <c r="D24" s="75" t="s">
        <v>100</v>
      </c>
      <c r="E24" s="33" t="s">
        <v>117</v>
      </c>
      <c r="F24" s="75" t="s">
        <v>123</v>
      </c>
      <c r="G24" s="33" t="s">
        <v>117</v>
      </c>
      <c r="H24" s="74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3" t="s">
        <v>109</v>
      </c>
      <c r="D25" s="75" t="s">
        <v>123</v>
      </c>
      <c r="E25" s="33" t="s">
        <v>117</v>
      </c>
      <c r="F25" s="75" t="s">
        <v>124</v>
      </c>
      <c r="G25" s="33" t="s">
        <v>117</v>
      </c>
      <c r="H25" s="74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3" t="s">
        <v>112</v>
      </c>
      <c r="D26" s="75" t="s">
        <v>124</v>
      </c>
      <c r="E26" s="33" t="s">
        <v>117</v>
      </c>
      <c r="F26" s="75" t="s">
        <v>124</v>
      </c>
      <c r="G26" s="33" t="s">
        <v>117</v>
      </c>
      <c r="H26" s="74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M5" sqref="M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3" customWidth="1"/>
    <col min="13" max="13" width="12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>
        <v>19810</v>
      </c>
      <c r="L3" s="70">
        <v>19810</v>
      </c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>
        <v>47200</v>
      </c>
      <c r="K4" s="70"/>
      <c r="L4" s="70"/>
      <c r="M4" s="70">
        <v>65000</v>
      </c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>
        <v>5260</v>
      </c>
      <c r="L6" s="70">
        <v>5260</v>
      </c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0">
        <v>5260</v>
      </c>
      <c r="H11" s="70"/>
      <c r="I11" s="70"/>
      <c r="J11" s="70">
        <v>46856.25</v>
      </c>
      <c r="K11" s="70">
        <v>68487.03</v>
      </c>
      <c r="L11" s="70">
        <v>52022.23</v>
      </c>
      <c r="M11" s="70"/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</row>
    <row r="14" spans="1:17" ht="14.25" customHeight="1"/>
    <row r="15" spans="1:17" ht="14.25" customHeight="1">
      <c r="A15" t="s">
        <v>479</v>
      </c>
      <c r="B15" s="76">
        <f>SUM(D3:D11)</f>
        <v>1967333</v>
      </c>
    </row>
    <row r="16" spans="1:17" ht="14.25" customHeight="1">
      <c r="A16" t="s">
        <v>458</v>
      </c>
      <c r="B16" s="76">
        <f>SUM(E3:Q13)</f>
        <v>794792.68</v>
      </c>
    </row>
    <row r="17" spans="1:2" ht="15" customHeight="1">
      <c r="A17" s="77" t="s">
        <v>480</v>
      </c>
      <c r="B17" s="78">
        <f>B15-B16</f>
        <v>1172540.3199999998</v>
      </c>
    </row>
    <row r="18" spans="1:2" ht="14.25" customHeight="1"/>
    <row r="19" spans="1:2" ht="14.25" customHeight="1"/>
    <row r="20" spans="1:2" ht="14.25" customHeight="1"/>
    <row r="21" spans="1:2" ht="14.25" customHeight="1"/>
    <row r="22" spans="1:2" ht="14.25" customHeight="1"/>
    <row r="23" spans="1:2" ht="14.25" customHeight="1"/>
    <row r="24" spans="1:2" ht="14.25" customHeight="1"/>
    <row r="25" spans="1:2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481</v>
      </c>
      <c r="B1" s="71" t="s">
        <v>482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483</v>
      </c>
      <c r="C2" s="22"/>
      <c r="D2" s="22"/>
      <c r="E2" s="22"/>
      <c r="F2" s="22"/>
      <c r="G2" s="22"/>
    </row>
    <row r="3" spans="1:7">
      <c r="A3" s="55">
        <v>46056</v>
      </c>
      <c r="B3" s="72">
        <v>3.2</v>
      </c>
      <c r="C3" s="22"/>
      <c r="D3" s="22"/>
      <c r="E3" s="22"/>
      <c r="F3" s="22"/>
      <c r="G3" s="22"/>
    </row>
    <row r="4" spans="1:7">
      <c r="A4" s="55">
        <v>46057</v>
      </c>
      <c r="B4" s="72">
        <v>3.2</v>
      </c>
      <c r="C4" s="22"/>
      <c r="D4" s="22"/>
      <c r="E4" s="22"/>
      <c r="F4" s="22"/>
      <c r="G4" s="22"/>
    </row>
    <row r="5" spans="1:7">
      <c r="A5" s="55">
        <v>46058</v>
      </c>
      <c r="B5" s="72">
        <v>3.5</v>
      </c>
      <c r="C5" s="22"/>
      <c r="D5" s="22"/>
      <c r="E5" s="22"/>
      <c r="F5" s="22"/>
      <c r="G5" s="22"/>
    </row>
    <row r="6" spans="1:7">
      <c r="A6" s="55">
        <v>46059</v>
      </c>
      <c r="B6" s="72">
        <v>3.7</v>
      </c>
      <c r="C6" s="22"/>
      <c r="D6" s="22"/>
      <c r="E6" s="22"/>
      <c r="F6" s="22"/>
      <c r="G6" s="22"/>
    </row>
    <row r="7" spans="1:7">
      <c r="A7" s="55">
        <v>46060</v>
      </c>
      <c r="B7" s="72">
        <v>3.7</v>
      </c>
      <c r="C7" s="22"/>
      <c r="D7" s="22"/>
      <c r="E7" s="22"/>
      <c r="F7" s="22"/>
      <c r="G7" s="22"/>
    </row>
    <row r="8" spans="1:7">
      <c r="A8" s="55">
        <v>46063</v>
      </c>
      <c r="B8" s="72">
        <v>4</v>
      </c>
      <c r="C8" s="22"/>
      <c r="D8" s="22"/>
      <c r="E8" s="22"/>
      <c r="F8" s="22"/>
      <c r="G8" s="22"/>
    </row>
    <row r="9" spans="1:7">
      <c r="A9" s="55">
        <v>46064</v>
      </c>
      <c r="B9" s="72">
        <v>4</v>
      </c>
      <c r="C9" s="22"/>
      <c r="D9" s="22"/>
      <c r="E9" s="22"/>
      <c r="F9" s="22"/>
      <c r="G9" s="22"/>
    </row>
    <row r="10" spans="1:7">
      <c r="A10" s="55">
        <v>46065</v>
      </c>
      <c r="B10" s="72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2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2026-08-04T17:14:22Z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