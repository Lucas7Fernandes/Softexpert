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"/>
    </mc:Choice>
  </mc:AlternateContent>
  <xr:revisionPtr revIDLastSave="163" documentId="11_DDF5B26E4F51C3A50BC009EB0FEE48632AD81A56" xr6:coauthVersionLast="47" xr6:coauthVersionMax="47" xr10:uidLastSave="{1DACC707-E3BD-4D17-9CA1-927EA5182ED7}"/>
  <bookViews>
    <workbookView xWindow="-110" yWindow="-110" windowWidth="19420" windowHeight="11500" tabRatio="500" firstSheet="5" activeTab="5" xr2:uid="{00000000-000D-0000-FFFF-FFFF00000000}"/>
  </bookViews>
  <sheets>
    <sheet name="Programa" sheetId="1" r:id="rId1"/>
    <sheet name="Projetos" sheetId="2" r:id="rId2"/>
    <sheet name="Etapas" sheetId="3" r:id="rId3"/>
    <sheet name="Módulos" sheetId="4" r:id="rId4"/>
    <sheet name="Riscos" sheetId="5" r:id="rId5"/>
    <sheet name="Organograma" sheetId="6" r:id="rId6"/>
    <sheet name="RACI" sheetId="7" r:id="rId7"/>
    <sheet name="Capacitação" sheetId="8" r:id="rId8"/>
    <sheet name="Budget" sheetId="9" r:id="rId9"/>
    <sheet name="Decisões" sheetId="10" r:id="rId10"/>
  </sheets>
  <definedNames>
    <definedName name="_xlnm._FilterDatabase" localSheetId="8" hidden="1">Budget!$A$1:$E$17</definedName>
    <definedName name="_xlnm._FilterDatabase" localSheetId="7" hidden="1">Capacitação!$A$1:$D$5</definedName>
    <definedName name="_xlnm._FilterDatabase" localSheetId="9" hidden="1">Decisões!$A$1:$E$9</definedName>
    <definedName name="_xlnm._FilterDatabase" localSheetId="2" hidden="1">Etapas!$A$1:$F$37</definedName>
    <definedName name="_xlnm._FilterDatabase" localSheetId="3" hidden="1">Módulos!$A$1:$H$14</definedName>
    <definedName name="_xlnm._FilterDatabase" localSheetId="5" hidden="1">Organograma!$A$1:$E$34</definedName>
    <definedName name="_xlnm._FilterDatabase" localSheetId="1" hidden="1">Projetos!$A$1:$L$9</definedName>
    <definedName name="_xlnm._FilterDatabase" localSheetId="4" hidden="1">Riscos!$A$1:$K$10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7" i="9" l="1"/>
  <c r="D17" i="9"/>
  <c r="E16" i="9"/>
  <c r="D16" i="9"/>
  <c r="D15" i="9"/>
  <c r="E15" i="9" s="1"/>
  <c r="D14" i="9"/>
  <c r="E14" i="9" s="1"/>
  <c r="D13" i="9"/>
  <c r="E13" i="9" s="1"/>
  <c r="E12" i="9"/>
  <c r="D12" i="9"/>
  <c r="E11" i="9"/>
  <c r="D11" i="9"/>
  <c r="C7" i="9"/>
  <c r="D7" i="9" s="1"/>
  <c r="B7" i="9"/>
  <c r="D6" i="9"/>
  <c r="D5" i="9"/>
  <c r="D4" i="9"/>
  <c r="D3" i="9"/>
  <c r="D2" i="9"/>
  <c r="D5" i="8"/>
  <c r="D4" i="8"/>
  <c r="D3" i="8"/>
  <c r="D2" i="8"/>
</calcChain>
</file>

<file path=xl/sharedStrings.xml><?xml version="1.0" encoding="utf-8"?>
<sst xmlns="http://schemas.openxmlformats.org/spreadsheetml/2006/main" count="907" uniqueCount="352">
  <si>
    <t>Campo</t>
  </si>
  <si>
    <t>Valor</t>
  </si>
  <si>
    <t>Nome do Programa</t>
  </si>
  <si>
    <t>teste</t>
  </si>
  <si>
    <t>Objetivo Estratégico</t>
  </si>
  <si>
    <t>Digitalizar e integrar processos de gestão corporativa...</t>
  </si>
  <si>
    <t>Sponsor</t>
  </si>
  <si>
    <t>Ricardo Santos — VP Operações</t>
  </si>
  <si>
    <t>Gerente de Programa</t>
  </si>
  <si>
    <t>Lucas Ferreira — TI</t>
  </si>
  <si>
    <t>Data de Início</t>
  </si>
  <si>
    <t>01/07/2025</t>
  </si>
  <si>
    <t>Previsão de Término</t>
  </si>
  <si>
    <t>31/12/2026</t>
  </si>
  <si>
    <t>Fase Atual</t>
  </si>
  <si>
    <t>Implantação</t>
  </si>
  <si>
    <t>Status Geral</t>
  </si>
  <si>
    <t>Em andamento</t>
  </si>
  <si>
    <t>Data de Atualização</t>
  </si>
  <si>
    <t>10/02/2026</t>
  </si>
  <si>
    <t>Orçamento Total (R$)</t>
  </si>
  <si>
    <t>1.200.000</t>
  </si>
  <si>
    <t>Realizado (R$)</t>
  </si>
  <si>
    <t>620.000</t>
  </si>
  <si>
    <t>Comprometido (R$)</t>
  </si>
  <si>
    <t>380.000</t>
  </si>
  <si>
    <t>Saldo Disponível (R$)</t>
  </si>
  <si>
    <t>200.000</t>
  </si>
  <si>
    <t>ID</t>
  </si>
  <si>
    <t>Projeto</t>
  </si>
  <si>
    <t>Área</t>
  </si>
  <si>
    <t>Responsável</t>
  </si>
  <si>
    <t>Status</t>
  </si>
  <si>
    <t>% Avanço</t>
  </si>
  <si>
    <t>Início Planejado</t>
  </si>
  <si>
    <t>Fim Planejado</t>
  </si>
  <si>
    <t>Início Real</t>
  </si>
  <si>
    <t>Fim Real</t>
  </si>
  <si>
    <t>Previsão Entrega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</si>
  <si>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</si>
  <si>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</si>
  <si>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</si>
  <si>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</si>
  <si>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</si>
  <si>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</si>
  <si>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</si>
  <si>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MM/AAAA</t>
  </si>
  <si>
    <t>P01</t>
  </si>
  <si>
    <t>Gestão de Documentos</t>
  </si>
  <si>
    <t>Qualidade &amp; Compliance</t>
  </si>
  <si>
    <t>Ana Martins</t>
  </si>
  <si>
    <t>Concluído</t>
  </si>
  <si>
    <t>Go-Live</t>
  </si>
  <si>
    <t>100%</t>
  </si>
  <si>
    <t>Jul/2025</t>
  </si>
  <si>
    <t>Dez/2025</t>
  </si>
  <si>
    <t>P02</t>
  </si>
  <si>
    <t>Gestão de Não Conformidades</t>
  </si>
  <si>
    <t>Qualidade</t>
  </si>
  <si>
    <t>Carlos Silva</t>
  </si>
  <si>
    <t>No Prazo</t>
  </si>
  <si>
    <t>Homologação</t>
  </si>
  <si>
    <t>72%</t>
  </si>
  <si>
    <t>Set/2025</t>
  </si>
  <si>
    <t>Abr/2026</t>
  </si>
  <si>
    <t>P03</t>
  </si>
  <si>
    <t>Gestão de Processos (BPM)</t>
  </si>
  <si>
    <t>Processos &amp; TI</t>
  </si>
  <si>
    <t>Fernanda Rocha</t>
  </si>
  <si>
    <t>65%</t>
  </si>
  <si>
    <t>Mai/2026</t>
  </si>
  <si>
    <t>P04</t>
  </si>
  <si>
    <t>Gestão de Riscos</t>
  </si>
  <si>
    <t>Compliance &amp; Jurídico</t>
  </si>
  <si>
    <t>Roberto Almeida</t>
  </si>
  <si>
    <t>Atenção</t>
  </si>
  <si>
    <t>Configuração</t>
  </si>
  <si>
    <t>48%</t>
  </si>
  <si>
    <t>Nov/2025</t>
  </si>
  <si>
    <t>Jun/2026</t>
  </si>
  <si>
    <t>P05</t>
  </si>
  <si>
    <t>Gestão de Auditorias</t>
  </si>
  <si>
    <t>Auditoria Interna</t>
  </si>
  <si>
    <t>Patrícia Lima</t>
  </si>
  <si>
    <t>55%</t>
  </si>
  <si>
    <t>Out/2025</t>
  </si>
  <si>
    <t>Jul/2026</t>
  </si>
  <si>
    <t>P06</t>
  </si>
  <si>
    <t>Gestão de Indicadores (KPIs)</t>
  </si>
  <si>
    <t>Planejamento Estratégico</t>
  </si>
  <si>
    <t>Marcos Oliveira</t>
  </si>
  <si>
    <t>35%</t>
  </si>
  <si>
    <t>Ago/2026</t>
  </si>
  <si>
    <t>P07</t>
  </si>
  <si>
    <t>Gestão de Fornecedores</t>
  </si>
  <si>
    <t>Suprimentos</t>
  </si>
  <si>
    <t>Juliana Costa</t>
  </si>
  <si>
    <t>Não Iniciado</t>
  </si>
  <si>
    <t>Backlog</t>
  </si>
  <si>
    <t>0%</t>
  </si>
  <si>
    <t>Out/2026</t>
  </si>
  <si>
    <t>P09</t>
  </si>
  <si>
    <t>ID Projeto</t>
  </si>
  <si>
    <t>Etapa</t>
  </si>
  <si>
    <t>Início</t>
  </si>
  <si>
    <t>Fim</t>
  </si>
  <si>
    <t>Ref. aba Projetos</t>
  </si>
  <si>
    <t>Auto (PROCV)</t>
  </si>
  <si>
    <t>Nome da etapa</t>
  </si>
  <si>
    <t>Concluído / Em andamento / Atenção / Não Iniciado</t>
  </si>
  <si>
    <t>Levantamento de requisitos</t>
  </si>
  <si>
    <t>Configuração dos módulos</t>
  </si>
  <si>
    <t>Ago/2025</t>
  </si>
  <si>
    <t>Homologação e testes</t>
  </si>
  <si>
    <t>Migração de dados</t>
  </si>
  <si>
    <t>Go-Live e estabilização</t>
  </si>
  <si>
    <t>Jan/2026</t>
  </si>
  <si>
    <t>Fev/2026</t>
  </si>
  <si>
    <t>Treinamento de usuários</t>
  </si>
  <si>
    <t>Mar/2026</t>
  </si>
  <si>
    <t>Modelagem de processos AS-IS</t>
  </si>
  <si>
    <t>Configuração e automação</t>
  </si>
  <si>
    <t>Configuração da matriz de riscos</t>
  </si>
  <si>
    <t>Definição de framework de KPIs</t>
  </si>
  <si>
    <t>Configuração do painel</t>
  </si>
  <si>
    <t>Set/2026</t>
  </si>
  <si>
    <t>Módulo</t>
  </si>
  <si>
    <t>Config.</t>
  </si>
  <si>
    <t>Responsável Técnico</t>
  </si>
  <si>
    <t>Ref.</t>
  </si>
  <si>
    <t>Nome do módulo</t>
  </si>
  <si>
    <t>Go-Live / Homologação / Config. / Backlog / Não Iniciado</t>
  </si>
  <si>
    <t>Concluído / Em andamento / Pendente</t>
  </si>
  <si>
    <t>Nome</t>
  </si>
  <si>
    <t>Controle de Documentos</t>
  </si>
  <si>
    <t>Distribuição Eletrônica</t>
  </si>
  <si>
    <t>Registro de NC</t>
  </si>
  <si>
    <t>Pendente</t>
  </si>
  <si>
    <t>Ações Corretivas (CAPA)</t>
  </si>
  <si>
    <t>Modelagem de Processos</t>
  </si>
  <si>
    <t>Automação de Workflows</t>
  </si>
  <si>
    <t>Matriz de Riscos</t>
  </si>
  <si>
    <t>Plano de Tratamento</t>
  </si>
  <si>
    <t>Planejamento de Auditorias</t>
  </si>
  <si>
    <t>Execução &amp; Findings</t>
  </si>
  <si>
    <t>Gestão de Indicadores</t>
  </si>
  <si>
    <t>Painel de Indicadores</t>
  </si>
  <si>
    <t>Avaliação de Fornecedores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</si>
  <si>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</si>
  <si>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</si>
  <si>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</si>
  <si>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</si>
  <si>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</si>
  <si>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</si>
  <si>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</si>
  <si>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</si>
  <si>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Risco / Impedimento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</si>
  <si>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</si>
  <si>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</si>
  <si>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</si>
  <si>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</si>
  <si>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</si>
  <si>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</t>
  </si>
  <si>
    <t>DD/MM/AAAA</t>
  </si>
  <si>
    <t>R01</t>
  </si>
  <si>
    <t>Risco</t>
  </si>
  <si>
    <t>Atraso na alocação de key users de Riscos</t>
  </si>
  <si>
    <t>Alto</t>
  </si>
  <si>
    <t>Cronograma</t>
  </si>
  <si>
    <t>Solicitar reforço via Presidência</t>
  </si>
  <si>
    <t>Aberto</t>
  </si>
  <si>
    <t>10/01/2026</t>
  </si>
  <si>
    <t>R02</t>
  </si>
  <si>
    <t>Integração com ERP legado (SAP) com escopo indefinido</t>
  </si>
  <si>
    <t>Escopo</t>
  </si>
  <si>
    <t>Workshop técnico agendado para 18/02</t>
  </si>
  <si>
    <t>Thiago Gomes</t>
  </si>
  <si>
    <t>15/01/2026</t>
  </si>
  <si>
    <t>R03</t>
  </si>
  <si>
    <t>Baixa adesão dos usuários finais na Engenharia</t>
  </si>
  <si>
    <t>Médio</t>
  </si>
  <si>
    <t>Adoção</t>
  </si>
  <si>
    <t>Plano de change management em execução</t>
  </si>
  <si>
    <t>Mitigando</t>
  </si>
  <si>
    <t>05/12/2025</t>
  </si>
  <si>
    <t>R04</t>
  </si>
  <si>
    <t>Dependência de consultoria externa para BPM avançado</t>
  </si>
  <si>
    <t>Custo</t>
  </si>
  <si>
    <t>Capacitação do time interno em andamento</t>
  </si>
  <si>
    <t>20/12/2025</t>
  </si>
  <si>
    <t>R05</t>
  </si>
  <si>
    <t>Sobreposição de escopo entre Indicadores e BI existente</t>
  </si>
  <si>
    <t>Baixo</t>
  </si>
  <si>
    <t>Mapeamento de sobreposição em execução</t>
  </si>
  <si>
    <t>08/01/2026</t>
  </si>
  <si>
    <t>I01</t>
  </si>
  <si>
    <t>Impedimento</t>
  </si>
  <si>
    <t>Aprovação de orçamento para licenças de Fornecedores</t>
  </si>
  <si>
    <t>Crítico</t>
  </si>
  <si>
    <t>Aguardando aprovação da Presidência</t>
  </si>
  <si>
    <t>Diretoria Financeira</t>
  </si>
  <si>
    <t>Bloqueado</t>
  </si>
  <si>
    <t>20/01/2026</t>
  </si>
  <si>
    <t>I02</t>
  </si>
  <si>
    <t>Ambiente de homologação com performance degradada</t>
  </si>
  <si>
    <t>Infraestrutura</t>
  </si>
  <si>
    <t>Ticket aberto com Softexpert</t>
  </si>
  <si>
    <t>Rafael Nunes</t>
  </si>
  <si>
    <t>Em tratamento</t>
  </si>
  <si>
    <t>03/02/2026</t>
  </si>
  <si>
    <t>I03</t>
  </si>
  <si>
    <t>Taxonomia corporativa de processos pendente</t>
  </si>
  <si>
    <t>Comitê de Processos em definição</t>
  </si>
  <si>
    <t>Nível</t>
  </si>
  <si>
    <t>Papel</t>
  </si>
  <si>
    <t>Cargo / Título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</si>
  <si>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</si>
  <si>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</si>
  <si>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</si>
  <si>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</si>
  <si>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</si>
  <si>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Sponsor Executivo</t>
  </si>
  <si>
    <t>Rodrigo Fairbanks von</t>
  </si>
  <si>
    <t>Presidente</t>
  </si>
  <si>
    <t>Presidência</t>
  </si>
  <si>
    <t>Comitê Executivo</t>
  </si>
  <si>
    <t>Membro do Comitê</t>
  </si>
  <si>
    <t xml:space="preserve">
Marco Cardoso</t>
  </si>
  <si>
    <t>Superintendente de TI</t>
  </si>
  <si>
    <t>Tecnologia da Informação</t>
  </si>
  <si>
    <t>Renee Silveira</t>
  </si>
  <si>
    <t>Diretora De Incorporação</t>
  </si>
  <si>
    <t>Incorporação</t>
  </si>
  <si>
    <t>Henrique Hildebrand Garcia</t>
  </si>
  <si>
    <t>Diretor Jurídico</t>
  </si>
  <si>
    <t>Jurídico</t>
  </si>
  <si>
    <t>Leonardo Araujo</t>
  </si>
  <si>
    <t>Diretor De Operacoes Financeiras e TI</t>
  </si>
  <si>
    <t>Operacoes Financeiras e TI</t>
  </si>
  <si>
    <t>Gestão do Programa</t>
  </si>
  <si>
    <t>Lucas Fernandes</t>
  </si>
  <si>
    <t>Coordenador de Sistemas</t>
  </si>
  <si>
    <t>Gerente de Projetos</t>
  </si>
  <si>
    <t xml:space="preserve">
Fernando Hideo Fujii</t>
  </si>
  <si>
    <t>Claudio Ferreira</t>
  </si>
  <si>
    <t>DBD - Gerente de Projetos</t>
  </si>
  <si>
    <t>DBD</t>
  </si>
  <si>
    <t>Leonardo Bazzo Scurupa</t>
  </si>
  <si>
    <t>SoftExpert - Gerente de Projetos</t>
  </si>
  <si>
    <t>SoftExpert</t>
  </si>
  <si>
    <t>Fabio Jonas</t>
  </si>
  <si>
    <t>Gerente De Riscos E Controles Internos</t>
  </si>
  <si>
    <t>Riscos E Controles Internos</t>
  </si>
  <si>
    <t>Líder Arquitetura/Infra</t>
  </si>
  <si>
    <t>Líder de Arquitetura</t>
  </si>
  <si>
    <t>Marco Andres Quezada</t>
  </si>
  <si>
    <t>Gerente de Infraestrutura</t>
  </si>
  <si>
    <t>Rodrigo Bernardo</t>
  </si>
  <si>
    <t>Decisor Go-NoGo</t>
  </si>
  <si>
    <t>Gerente de Sistemas</t>
  </si>
  <si>
    <t>Luiz Antonio Novaes</t>
  </si>
  <si>
    <t>Superintendente de T.I.</t>
  </si>
  <si>
    <t>Gerente Jurídico Imobiliario</t>
  </si>
  <si>
    <t>Alexandre Tavares de Gouvea</t>
  </si>
  <si>
    <t>Time Projeto</t>
  </si>
  <si>
    <t xml:space="preserve">Analista de Sistemas </t>
  </si>
  <si>
    <t>Luciano da Rocha Rafael</t>
  </si>
  <si>
    <t>Lucas Norato</t>
  </si>
  <si>
    <t>Vinicius França Nascimento</t>
  </si>
  <si>
    <t>Andreza Benatti</t>
  </si>
  <si>
    <t>Analista - Contratos, GRC e Auditoria</t>
  </si>
  <si>
    <t>Cristian Ribeiro Quadros</t>
  </si>
  <si>
    <t>Key User N1</t>
  </si>
  <si>
    <t>Mayara Santos</t>
  </si>
  <si>
    <t>Coordenadora De Novos Negocios</t>
  </si>
  <si>
    <t>Novos Negócios</t>
  </si>
  <si>
    <t>Key User N2</t>
  </si>
  <si>
    <t>Laura Barbosa Ribeiro</t>
  </si>
  <si>
    <t>Assistente de Novos Negócios</t>
  </si>
  <si>
    <t>Gina De Giuseppe</t>
  </si>
  <si>
    <t>Coordenadora De Incorporacao</t>
  </si>
  <si>
    <t>Gabriela Costa do Nascimento</t>
  </si>
  <si>
    <t>Advogado SR</t>
  </si>
  <si>
    <t>Pedro Henrique de Oliveira</t>
  </si>
  <si>
    <t>SLO - Terceiro</t>
  </si>
  <si>
    <t>Luciana de Carvalho Cavalcante</t>
  </si>
  <si>
    <t xml:space="preserve">Coordenadora Juridico  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</si>
  <si>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</si>
  <si>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</si>
  <si>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</si>
  <si>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</si>
  <si>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</si>
  <si>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</si>
  <si>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</si>
  <si>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</si>
  <si>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</si>
  <si>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</si>
  <si>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</si>
  <si>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</si>
  <si>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</si>
  <si>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</si>
  <si>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</si>
  <si>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</si>
  <si>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</si>
  <si>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</si>
  <si>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</si>
  <si>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</si>
  <si>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</si>
  <si>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</si>
  <si>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</si>
  <si>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</si>
  <si>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</si>
  <si>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</si>
  <si>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</si>
  <si>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</si>
  <si>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</si>
  <si>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</si>
  <si>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</si>
  <si>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</si>
  <si>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</si>
  <si>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</si>
  <si>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Orçado (R$)</t>
  </si>
  <si>
    <t>% Utilizado</t>
  </si>
  <si>
    <t>Licenças Softexpert</t>
  </si>
  <si>
    <t>Consultoria &amp; Implantação</t>
  </si>
  <si>
    <t>Treinamentos</t>
  </si>
  <si>
    <t>Infraestrutura &amp; Integração</t>
  </si>
  <si>
    <t>Contingência</t>
  </si>
  <si>
    <t>TOTAL</t>
  </si>
  <si>
    <t>Evolução Mensal</t>
  </si>
  <si>
    <t>Mês</t>
  </si>
  <si>
    <t>Planejado (R$)</t>
  </si>
  <si>
    <t>Desvio (R$)</t>
  </si>
  <si>
    <t>Desvio %</t>
  </si>
  <si>
    <t>Prazo / Data</t>
  </si>
  <si>
    <t>Decisão / Conquista</t>
  </si>
  <si>
    <t>Quem decide ou realizou</t>
  </si>
  <si>
    <t>Pendente / Concluído</t>
  </si>
  <si>
    <t>Decisão</t>
  </si>
  <si>
    <t>Aprovar alocação de 2 recursos adicionais do time de TI para Gestão de Riscos</t>
  </si>
  <si>
    <t>20/02/2026</t>
  </si>
  <si>
    <t>Definir prioridade entre Indicadores e Fornecedores para alocação de key users Q2</t>
  </si>
  <si>
    <t>28/02/2026</t>
  </si>
  <si>
    <t>Validar orçamento adicional de R$ 85K para treinamentos avançados Softexpert</t>
  </si>
  <si>
    <t>15/03/2026</t>
  </si>
  <si>
    <t>Conquista</t>
  </si>
  <si>
    <t>Gestão de Documentos 100% operacional — 1.200+ documentos migrados, 45 usuários ativos</t>
  </si>
  <si>
    <t>Redução de 60% no tempo de busca de documentos</t>
  </si>
  <si>
    <t>Qualidade &amp; Engenharia</t>
  </si>
  <si>
    <t>23 processos mapeados em BPM</t>
  </si>
  <si>
    <t>100% dos key users capacitados nos módulos da Fase 2</t>
  </si>
  <si>
    <t>Lucas Ferreira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</si>
</sst>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0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9CA3AF"/>
      <name val="Arial"/>
      <charset val="1"/>
    </font>
    <font>
      <b/>
      <sz val="11"/>
      <color rgb="FF6B7280"/>
      <name val="Arial"/>
      <charset val="1"/>
    </font>
    <font>
      <b/>
      <sz val="10"/>
      <color rgb="FFFFFFFF"/>
      <name val="Arial"/>
      <charset val="1"/>
    </font>
    <font>
      <b/>
      <sz val="12"/>
      <color rgb="FF1B2A4A"/>
      <name val="Arial"/>
      <charset val="1"/>
    </font>
    <font>
      <sz val="11"/>
      <color rgb="FF242424"/>
      <name val="Aptos Narrow"/>
      <charset val="1"/>
    </font>
    <font>
      <sz val="10"/>
      <color rgb="FF1B2A4A"/>
      <name val="Arial"/>
    </font>
  </fonts>
  <fills count="8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9F9F7"/>
        <bgColor rgb="FFFFFFFF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9F9F7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 wrapText="1"/>
    </xf>
    <xf numFmtId="0" fontId="4" fillId="3" borderId="1" xfId="0" applyFont="1" applyFill="1" applyBorder="1" applyAlignment="1">
      <alignment horizontal="left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2" fillId="0" borderId="0" xfId="0" applyFont="1"/>
    <xf numFmtId="0" fontId="1" fillId="5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1" fillId="4" borderId="0" xfId="0" applyFont="1" applyFill="1" applyAlignment="1">
      <alignment horizontal="center" vertical="center" wrapText="1"/>
    </xf>
    <xf numFmtId="0" fontId="5" fillId="6" borderId="0" xfId="0" applyFont="1" applyFill="1" applyAlignment="1">
      <alignment horizontal="center" vertical="center" wrapText="1"/>
    </xf>
    <xf numFmtId="9" fontId="3" fillId="0" borderId="1" xfId="0" applyNumberFormat="1" applyFont="1" applyBorder="1" applyAlignment="1">
      <alignment horizontal="center" vertical="center" wrapText="1"/>
    </xf>
    <xf numFmtId="3" fontId="3" fillId="0" borderId="1" xfId="0" applyNumberFormat="1" applyFont="1" applyBorder="1" applyAlignment="1">
      <alignment horizontal="left" vertical="center" wrapText="1"/>
    </xf>
    <xf numFmtId="0" fontId="6" fillId="2" borderId="1" xfId="0" applyFont="1" applyFill="1" applyBorder="1" applyAlignment="1">
      <alignment horizontal="left" vertical="center" wrapText="1"/>
    </xf>
    <xf numFmtId="3" fontId="1" fillId="2" borderId="1" xfId="0" applyNumberFormat="1" applyFont="1" applyFill="1" applyBorder="1" applyAlignment="1">
      <alignment horizontal="center" vertical="center" wrapText="1"/>
    </xf>
    <xf numFmtId="9" fontId="1" fillId="2" borderId="1" xfId="0" applyNumberFormat="1" applyFont="1" applyFill="1" applyBorder="1" applyAlignment="1">
      <alignment horizontal="center" vertical="center" wrapText="1"/>
    </xf>
    <xf numFmtId="0" fontId="7" fillId="0" borderId="0" xfId="0" applyFont="1"/>
    <xf numFmtId="3" fontId="3" fillId="0" borderId="1" xfId="0" applyNumberFormat="1" applyFont="1" applyBorder="1" applyAlignment="1">
      <alignment horizontal="center" vertical="center" wrapText="1"/>
    </xf>
    <xf numFmtId="164" fontId="3" fillId="0" borderId="1" xfId="0" applyNumberFormat="1" applyFont="1" applyBorder="1" applyAlignment="1">
      <alignment horizontal="center" vertical="center" wrapText="1"/>
    </xf>
    <xf numFmtId="0" fontId="3" fillId="7" borderId="1" xfId="0" applyFont="1" applyFill="1" applyBorder="1" applyAlignment="1">
      <alignment horizontal="left" vertical="center" wrapText="1"/>
    </xf>
    <xf numFmtId="0" fontId="8" fillId="7" borderId="0" xfId="0" applyFont="1" applyFill="1" applyAlignment="1">
      <alignment horizontal="left" vertical="center"/>
    </xf>
    <xf numFmtId="0" fontId="9" fillId="7" borderId="1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08080"/>
      <rgbColor rgb="FF9999FF"/>
      <rgbColor rgb="FF7C3AED"/>
      <rgbColor rgb="FFF9F9F7"/>
      <rgbColor rgb="FFECEAE6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59E0B"/>
      <rgbColor rgb="FFE8584F"/>
      <rgbColor rgb="FF6B7280"/>
      <rgbColor rgb="FF9CA3AF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17" sqref="B17"/>
    </sheetView>
  </sheetViews>
  <sheetFormatPr defaultColWidth="8.5703125" defaultRowHeight="14.45"/>
  <cols>
    <col min="1" max="1" width="35" customWidth="1"/>
    <col min="2" max="2" width="55" customWidth="1"/>
  </cols>
  <sheetData>
    <row r="1" spans="1:2">
      <c r="A1" s="1" t="s">
        <v>0</v>
      </c>
      <c r="B1" s="1" t="s">
        <v>1</v>
      </c>
    </row>
    <row r="2" spans="1:2">
      <c r="A2" s="2" t="s">
        <v>2</v>
      </c>
      <c r="B2" s="3" t="s">
        <v>3</v>
      </c>
    </row>
    <row r="3" spans="1:2">
      <c r="A3" s="2" t="s">
        <v>4</v>
      </c>
      <c r="B3" s="3" t="s">
        <v>5</v>
      </c>
    </row>
    <row r="4" spans="1:2">
      <c r="A4" s="2" t="s">
        <v>6</v>
      </c>
      <c r="B4" s="3" t="s">
        <v>7</v>
      </c>
    </row>
    <row r="5" spans="1:2">
      <c r="A5" s="2" t="s">
        <v>8</v>
      </c>
      <c r="B5" s="3" t="s">
        <v>9</v>
      </c>
    </row>
    <row r="6" spans="1:2">
      <c r="A6" s="2" t="s">
        <v>10</v>
      </c>
      <c r="B6" s="3" t="s">
        <v>11</v>
      </c>
    </row>
    <row r="7" spans="1:2">
      <c r="A7" s="2" t="s">
        <v>12</v>
      </c>
      <c r="B7" s="3" t="s">
        <v>13</v>
      </c>
    </row>
    <row r="8" spans="1:2">
      <c r="A8" s="2" t="s">
        <v>14</v>
      </c>
      <c r="B8" s="3" t="s">
        <v>15</v>
      </c>
    </row>
    <row r="9" spans="1:2">
      <c r="A9" s="2" t="s">
        <v>16</v>
      </c>
      <c r="B9" s="3" t="s">
        <v>17</v>
      </c>
    </row>
    <row r="10" spans="1:2">
      <c r="A10" s="2" t="s">
        <v>18</v>
      </c>
      <c r="B10" s="3" t="s">
        <v>19</v>
      </c>
    </row>
    <row r="11" spans="1:2">
      <c r="A11" s="2" t="s">
        <v>20</v>
      </c>
      <c r="B11" s="3" t="s">
        <v>21</v>
      </c>
    </row>
    <row r="12" spans="1:2">
      <c r="A12" s="2" t="s">
        <v>22</v>
      </c>
      <c r="B12" s="3" t="s">
        <v>23</v>
      </c>
    </row>
    <row r="13" spans="1:2">
      <c r="A13" s="2" t="s">
        <v>24</v>
      </c>
      <c r="B13" s="3" t="s">
        <v>25</v>
      </c>
    </row>
    <row r="14" spans="1:2">
      <c r="A14" s="2" t="s">
        <v>26</v>
      </c>
      <c r="B14" s="3" t="s">
        <v>27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L10"/>
  <sheetViews>
    <sheetView zoomScaleNormal="100" workbookViewId="0">
      <pane ySplit="2" topLeftCell="D13" activePane="bottomLeft" state="frozen"/>
      <selection pane="bottomLeft" activeCell="D13" sqref="D13"/>
    </sheetView>
  </sheetViews>
  <sheetFormatPr defaultColWidth="8.5703125" defaultRowHeight="14.45"/>
  <cols>
    <col min="1" max="1" width="6" customWidth="1"/>
    <col min="2" max="2" width="30" customWidth="1"/>
    <col min="3" max="3" width="22" customWidth="1"/>
    <col min="4" max="4" width="20" customWidth="1"/>
    <col min="5" max="5" width="14" customWidth="1"/>
    <col min="6" max="6" width="16" customWidth="1"/>
    <col min="7" max="7" width="12" customWidth="1"/>
    <col min="8" max="12" width="16" customWidth="1"/>
  </cols>
  <sheetData>
    <row r="1" spans="1:12" ht="27.95">
      <c r="A1" s="1" t="s">
        <v>28</v>
      </c>
      <c r="B1" s="1" t="s">
        <v>29</v>
      </c>
      <c r="C1" s="1" t="s">
        <v>30</v>
      </c>
      <c r="D1" s="1" t="s">
        <v>31</v>
      </c>
      <c r="E1" s="1" t="s">
        <v>32</v>
      </c>
      <c r="F1" s="1" t="s">
        <v>14</v>
      </c>
      <c r="G1" s="1" t="s">
        <v>33</v>
      </c>
      <c r="H1" s="1" t="s">
        <v>34</v>
      </c>
      <c r="I1" s="1" t="s">
        <v>35</v>
      </c>
      <c r="J1" s="1" t="s">
        <v>36</v>
      </c>
      <c r="K1" s="1" t="s">
        <v>37</v>
      </c>
      <c r="L1" s="1" t="s">
        <v>38</v>
      </c>
    </row>
    <row r="2" spans="1:12" ht="48">
      <c r="A2" s="4" t="s">
        <v>39</v>
      </c>
      <c r="B2" s="4" t="s">
        <v>40</v>
      </c>
      <c r="C2" s="4" t="s">
        <v>41</v>
      </c>
      <c r="D2" s="4" t="s">
        <v>42</v>
      </c>
      <c r="E2" s="4" t="s">
        <v>43</v>
      </c>
      <c r="F2" s="4" t="s">
        <v>44</v>
      </c>
      <c r="G2" s="4" t="s">
        <v>45</v>
      </c>
      <c r="H2" s="4" t="s">
        <v>46</v>
      </c>
      <c r="I2" s="4" t="s">
        <v>46</v>
      </c>
      <c r="J2" s="4" t="s">
        <v>46</v>
      </c>
      <c r="K2" s="4" t="s">
        <v>46</v>
      </c>
      <c r="L2" s="4" t="s">
        <v>46</v>
      </c>
    </row>
    <row r="3" spans="1:12">
      <c r="A3" s="3" t="s">
        <v>47</v>
      </c>
      <c r="B3" s="3" t="s">
        <v>48</v>
      </c>
      <c r="C3" s="3" t="s">
        <v>49</v>
      </c>
      <c r="D3" s="3" t="s">
        <v>50</v>
      </c>
      <c r="E3" s="3" t="s">
        <v>51</v>
      </c>
      <c r="F3" s="3" t="s">
        <v>52</v>
      </c>
      <c r="G3" s="3" t="s">
        <v>53</v>
      </c>
      <c r="H3" s="3" t="s">
        <v>54</v>
      </c>
      <c r="I3" s="3" t="s">
        <v>55</v>
      </c>
      <c r="J3" s="3" t="s">
        <v>54</v>
      </c>
      <c r="K3" s="3" t="s">
        <v>55</v>
      </c>
      <c r="L3" s="3" t="s">
        <v>55</v>
      </c>
    </row>
    <row r="4" spans="1:12">
      <c r="A4" s="3" t="s">
        <v>56</v>
      </c>
      <c r="B4" s="3" t="s">
        <v>57</v>
      </c>
      <c r="C4" s="3" t="s">
        <v>58</v>
      </c>
      <c r="D4" s="3" t="s">
        <v>59</v>
      </c>
      <c r="E4" s="3" t="s">
        <v>60</v>
      </c>
      <c r="F4" s="3" t="s">
        <v>61</v>
      </c>
      <c r="G4" s="3" t="s">
        <v>62</v>
      </c>
      <c r="H4" s="3" t="s">
        <v>63</v>
      </c>
      <c r="I4" s="3" t="s">
        <v>64</v>
      </c>
      <c r="J4" s="3" t="s">
        <v>63</v>
      </c>
      <c r="K4" s="3"/>
      <c r="L4" s="3" t="s">
        <v>64</v>
      </c>
    </row>
    <row r="5" spans="1:12">
      <c r="A5" s="3" t="s">
        <v>65</v>
      </c>
      <c r="B5" s="3" t="s">
        <v>66</v>
      </c>
      <c r="C5" s="3" t="s">
        <v>67</v>
      </c>
      <c r="D5" s="3" t="s">
        <v>68</v>
      </c>
      <c r="E5" s="3" t="s">
        <v>60</v>
      </c>
      <c r="F5" s="3" t="s">
        <v>15</v>
      </c>
      <c r="G5" s="3" t="s">
        <v>69</v>
      </c>
      <c r="H5" s="3" t="s">
        <v>63</v>
      </c>
      <c r="I5" s="3" t="s">
        <v>70</v>
      </c>
      <c r="J5" s="3" t="s">
        <v>63</v>
      </c>
      <c r="K5" s="3"/>
      <c r="L5" s="3" t="s">
        <v>70</v>
      </c>
    </row>
    <row r="6" spans="1:12">
      <c r="A6" s="3" t="s">
        <v>71</v>
      </c>
      <c r="B6" s="3" t="s">
        <v>72</v>
      </c>
      <c r="C6" s="3" t="s">
        <v>73</v>
      </c>
      <c r="D6" s="3" t="s">
        <v>74</v>
      </c>
      <c r="E6" s="3" t="s">
        <v>75</v>
      </c>
      <c r="F6" s="3" t="s">
        <v>76</v>
      </c>
      <c r="G6" s="3" t="s">
        <v>77</v>
      </c>
      <c r="H6" s="3" t="s">
        <v>78</v>
      </c>
      <c r="I6" s="3" t="s">
        <v>79</v>
      </c>
      <c r="J6" s="3" t="s">
        <v>78</v>
      </c>
      <c r="K6" s="3"/>
      <c r="L6" s="3" t="s">
        <v>79</v>
      </c>
    </row>
    <row r="7" spans="1:12">
      <c r="A7" s="3" t="s">
        <v>80</v>
      </c>
      <c r="B7" s="3" t="s">
        <v>81</v>
      </c>
      <c r="C7" s="3" t="s">
        <v>82</v>
      </c>
      <c r="D7" s="3" t="s">
        <v>83</v>
      </c>
      <c r="E7" s="3" t="s">
        <v>60</v>
      </c>
      <c r="F7" s="3" t="s">
        <v>76</v>
      </c>
      <c r="G7" s="3" t="s">
        <v>84</v>
      </c>
      <c r="H7" s="3" t="s">
        <v>85</v>
      </c>
      <c r="I7" s="3" t="s">
        <v>86</v>
      </c>
      <c r="J7" s="3" t="s">
        <v>85</v>
      </c>
      <c r="K7" s="3"/>
      <c r="L7" s="3" t="s">
        <v>86</v>
      </c>
    </row>
    <row r="8" spans="1:12">
      <c r="A8" s="3" t="s">
        <v>87</v>
      </c>
      <c r="B8" s="3" t="s">
        <v>88</v>
      </c>
      <c r="C8" s="3" t="s">
        <v>89</v>
      </c>
      <c r="D8" s="3" t="s">
        <v>90</v>
      </c>
      <c r="E8" s="3" t="s">
        <v>75</v>
      </c>
      <c r="F8" s="3" t="s">
        <v>76</v>
      </c>
      <c r="G8" s="3" t="s">
        <v>91</v>
      </c>
      <c r="H8" s="3" t="s">
        <v>55</v>
      </c>
      <c r="I8" s="3" t="s">
        <v>92</v>
      </c>
      <c r="J8" s="3" t="s">
        <v>55</v>
      </c>
      <c r="K8" s="3"/>
      <c r="L8" s="3" t="s">
        <v>92</v>
      </c>
    </row>
    <row r="9" spans="1:12">
      <c r="A9" s="3" t="s">
        <v>93</v>
      </c>
      <c r="B9" s="3" t="s">
        <v>94</v>
      </c>
      <c r="C9" s="3" t="s">
        <v>95</v>
      </c>
      <c r="D9" s="3" t="s">
        <v>96</v>
      </c>
      <c r="E9" s="3" t="s">
        <v>97</v>
      </c>
      <c r="F9" s="3" t="s">
        <v>98</v>
      </c>
      <c r="G9" s="3" t="s">
        <v>99</v>
      </c>
      <c r="H9" s="3" t="s">
        <v>64</v>
      </c>
      <c r="I9" s="3" t="s">
        <v>100</v>
      </c>
      <c r="J9" s="3"/>
      <c r="K9" s="3"/>
      <c r="L9" s="3" t="s">
        <v>100</v>
      </c>
    </row>
    <row r="10" spans="1:12">
      <c r="A10" s="3" t="s">
        <v>101</v>
      </c>
      <c r="B10" s="3" t="s">
        <v>3</v>
      </c>
      <c r="C10" s="3" t="s">
        <v>89</v>
      </c>
      <c r="D10" s="3" t="s">
        <v>90</v>
      </c>
      <c r="E10" s="3" t="s">
        <v>75</v>
      </c>
      <c r="F10" s="3" t="s">
        <v>76</v>
      </c>
      <c r="G10" s="3" t="s">
        <v>91</v>
      </c>
      <c r="H10" s="3" t="s">
        <v>55</v>
      </c>
      <c r="I10" s="3" t="s">
        <v>92</v>
      </c>
      <c r="J10" s="3" t="s">
        <v>55</v>
      </c>
    </row>
  </sheetData>
  <autoFilter ref="A1:L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F37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12" customWidth="1"/>
    <col min="2" max="3" width="30" customWidth="1"/>
    <col min="4" max="5" width="14" customWidth="1"/>
    <col min="6" max="6" width="18" customWidth="1"/>
  </cols>
  <sheetData>
    <row r="1" spans="1:6">
      <c r="A1" s="1" t="s">
        <v>102</v>
      </c>
      <c r="B1" s="1" t="s">
        <v>29</v>
      </c>
      <c r="C1" s="1" t="s">
        <v>103</v>
      </c>
      <c r="D1" s="1" t="s">
        <v>104</v>
      </c>
      <c r="E1" s="1" t="s">
        <v>105</v>
      </c>
      <c r="F1" s="1" t="s">
        <v>32</v>
      </c>
    </row>
    <row r="2" spans="1:6" ht="36">
      <c r="A2" s="4" t="s">
        <v>106</v>
      </c>
      <c r="B2" s="4" t="s">
        <v>107</v>
      </c>
      <c r="C2" s="4" t="s">
        <v>108</v>
      </c>
      <c r="D2" s="4" t="s">
        <v>46</v>
      </c>
      <c r="E2" s="4" t="s">
        <v>46</v>
      </c>
      <c r="F2" s="4" t="s">
        <v>109</v>
      </c>
    </row>
    <row r="3" spans="1:6">
      <c r="A3" s="3" t="s">
        <v>47</v>
      </c>
      <c r="B3" s="3" t="s">
        <v>48</v>
      </c>
      <c r="C3" s="3" t="s">
        <v>110</v>
      </c>
      <c r="D3" s="3" t="s">
        <v>54</v>
      </c>
      <c r="E3" s="3" t="s">
        <v>54</v>
      </c>
      <c r="F3" s="3" t="s">
        <v>51</v>
      </c>
    </row>
    <row r="4" spans="1:6">
      <c r="A4" s="3" t="s">
        <v>47</v>
      </c>
      <c r="B4" s="3" t="s">
        <v>48</v>
      </c>
      <c r="C4" s="3" t="s">
        <v>111</v>
      </c>
      <c r="D4" s="3" t="s">
        <v>112</v>
      </c>
      <c r="E4" s="3" t="s">
        <v>63</v>
      </c>
      <c r="F4" s="3" t="s">
        <v>51</v>
      </c>
    </row>
    <row r="5" spans="1:6">
      <c r="A5" s="3" t="s">
        <v>47</v>
      </c>
      <c r="B5" s="3" t="s">
        <v>48</v>
      </c>
      <c r="C5" s="3" t="s">
        <v>113</v>
      </c>
      <c r="D5" s="3" t="s">
        <v>63</v>
      </c>
      <c r="E5" s="3" t="s">
        <v>85</v>
      </c>
      <c r="F5" s="3" t="s">
        <v>51</v>
      </c>
    </row>
    <row r="6" spans="1:6">
      <c r="A6" s="3" t="s">
        <v>47</v>
      </c>
      <c r="B6" s="3" t="s">
        <v>48</v>
      </c>
      <c r="C6" s="3" t="s">
        <v>114</v>
      </c>
      <c r="D6" s="3" t="s">
        <v>85</v>
      </c>
      <c r="E6" s="3" t="s">
        <v>78</v>
      </c>
      <c r="F6" s="3" t="s">
        <v>51</v>
      </c>
    </row>
    <row r="7" spans="1:6">
      <c r="A7" s="3" t="s">
        <v>47</v>
      </c>
      <c r="B7" s="3" t="s">
        <v>48</v>
      </c>
      <c r="C7" s="3" t="s">
        <v>115</v>
      </c>
      <c r="D7" s="3" t="s">
        <v>78</v>
      </c>
      <c r="E7" s="3" t="s">
        <v>55</v>
      </c>
      <c r="F7" s="3" t="s">
        <v>51</v>
      </c>
    </row>
    <row r="8" spans="1:6">
      <c r="A8" s="3" t="s">
        <v>56</v>
      </c>
      <c r="B8" s="3" t="s">
        <v>57</v>
      </c>
      <c r="C8" s="3" t="s">
        <v>110</v>
      </c>
      <c r="D8" s="3" t="s">
        <v>63</v>
      </c>
      <c r="E8" s="3" t="s">
        <v>63</v>
      </c>
      <c r="F8" s="3" t="s">
        <v>51</v>
      </c>
    </row>
    <row r="9" spans="1:6">
      <c r="A9" s="3" t="s">
        <v>56</v>
      </c>
      <c r="B9" s="3" t="s">
        <v>57</v>
      </c>
      <c r="C9" s="3" t="s">
        <v>111</v>
      </c>
      <c r="D9" s="3" t="s">
        <v>85</v>
      </c>
      <c r="E9" s="3" t="s">
        <v>55</v>
      </c>
      <c r="F9" s="3" t="s">
        <v>51</v>
      </c>
    </row>
    <row r="10" spans="1:6">
      <c r="A10" s="3" t="s">
        <v>56</v>
      </c>
      <c r="B10" s="3" t="s">
        <v>57</v>
      </c>
      <c r="C10" s="3" t="s">
        <v>113</v>
      </c>
      <c r="D10" s="3" t="s">
        <v>116</v>
      </c>
      <c r="E10" s="3" t="s">
        <v>117</v>
      </c>
      <c r="F10" s="3" t="s">
        <v>17</v>
      </c>
    </row>
    <row r="11" spans="1:6">
      <c r="A11" s="3" t="s">
        <v>56</v>
      </c>
      <c r="B11" s="3" t="s">
        <v>57</v>
      </c>
      <c r="C11" s="3" t="s">
        <v>118</v>
      </c>
      <c r="D11" s="3" t="s">
        <v>117</v>
      </c>
      <c r="E11" s="3" t="s">
        <v>119</v>
      </c>
      <c r="F11" s="3" t="s">
        <v>97</v>
      </c>
    </row>
    <row r="12" spans="1:6">
      <c r="A12" s="3" t="s">
        <v>56</v>
      </c>
      <c r="B12" s="3" t="s">
        <v>57</v>
      </c>
      <c r="C12" s="3" t="s">
        <v>115</v>
      </c>
      <c r="D12" s="3" t="s">
        <v>119</v>
      </c>
      <c r="E12" s="3" t="s">
        <v>64</v>
      </c>
      <c r="F12" s="3" t="s">
        <v>97</v>
      </c>
    </row>
    <row r="13" spans="1:6">
      <c r="A13" s="3" t="s">
        <v>65</v>
      </c>
      <c r="B13" s="3" t="s">
        <v>66</v>
      </c>
      <c r="C13" s="3" t="s">
        <v>110</v>
      </c>
      <c r="D13" s="3" t="s">
        <v>63</v>
      </c>
      <c r="E13" s="3" t="s">
        <v>85</v>
      </c>
      <c r="F13" s="3" t="s">
        <v>51</v>
      </c>
    </row>
    <row r="14" spans="1:6">
      <c r="A14" s="3" t="s">
        <v>65</v>
      </c>
      <c r="B14" s="3" t="s">
        <v>66</v>
      </c>
      <c r="C14" s="3" t="s">
        <v>120</v>
      </c>
      <c r="D14" s="3" t="s">
        <v>85</v>
      </c>
      <c r="E14" s="3" t="s">
        <v>78</v>
      </c>
      <c r="F14" s="3" t="s">
        <v>51</v>
      </c>
    </row>
    <row r="15" spans="1:6">
      <c r="A15" s="3" t="s">
        <v>65</v>
      </c>
      <c r="B15" s="3" t="s">
        <v>66</v>
      </c>
      <c r="C15" s="3" t="s">
        <v>121</v>
      </c>
      <c r="D15" s="3" t="s">
        <v>55</v>
      </c>
      <c r="E15" s="3" t="s">
        <v>117</v>
      </c>
      <c r="F15" s="3" t="s">
        <v>17</v>
      </c>
    </row>
    <row r="16" spans="1:6">
      <c r="A16" s="3" t="s">
        <v>65</v>
      </c>
      <c r="B16" s="3" t="s">
        <v>66</v>
      </c>
      <c r="C16" s="3" t="s">
        <v>113</v>
      </c>
      <c r="D16" s="3" t="s">
        <v>117</v>
      </c>
      <c r="E16" s="3" t="s">
        <v>119</v>
      </c>
      <c r="F16" s="3" t="s">
        <v>97</v>
      </c>
    </row>
    <row r="17" spans="1:6">
      <c r="A17" s="3" t="s">
        <v>65</v>
      </c>
      <c r="B17" s="3" t="s">
        <v>66</v>
      </c>
      <c r="C17" s="3" t="s">
        <v>115</v>
      </c>
      <c r="D17" s="3" t="s">
        <v>64</v>
      </c>
      <c r="E17" s="3" t="s">
        <v>70</v>
      </c>
      <c r="F17" s="3" t="s">
        <v>97</v>
      </c>
    </row>
    <row r="18" spans="1:6">
      <c r="A18" s="3" t="s">
        <v>71</v>
      </c>
      <c r="B18" s="3" t="s">
        <v>72</v>
      </c>
      <c r="C18" s="3" t="s">
        <v>110</v>
      </c>
      <c r="D18" s="3" t="s">
        <v>78</v>
      </c>
      <c r="E18" s="3" t="s">
        <v>55</v>
      </c>
      <c r="F18" s="3" t="s">
        <v>51</v>
      </c>
    </row>
    <row r="19" spans="1:6">
      <c r="A19" s="3" t="s">
        <v>71</v>
      </c>
      <c r="B19" s="3" t="s">
        <v>72</v>
      </c>
      <c r="C19" s="3" t="s">
        <v>122</v>
      </c>
      <c r="D19" s="3" t="s">
        <v>116</v>
      </c>
      <c r="E19" s="3" t="s">
        <v>117</v>
      </c>
      <c r="F19" s="3" t="s">
        <v>75</v>
      </c>
    </row>
    <row r="20" spans="1:6">
      <c r="A20" s="3" t="s">
        <v>71</v>
      </c>
      <c r="B20" s="3" t="s">
        <v>72</v>
      </c>
      <c r="C20" s="3" t="s">
        <v>113</v>
      </c>
      <c r="D20" s="3" t="s">
        <v>119</v>
      </c>
      <c r="E20" s="3" t="s">
        <v>64</v>
      </c>
      <c r="F20" s="3" t="s">
        <v>97</v>
      </c>
    </row>
    <row r="21" spans="1:6">
      <c r="A21" s="3" t="s">
        <v>71</v>
      </c>
      <c r="B21" s="3" t="s">
        <v>72</v>
      </c>
      <c r="C21" s="3" t="s">
        <v>118</v>
      </c>
      <c r="D21" s="3" t="s">
        <v>64</v>
      </c>
      <c r="E21" s="3" t="s">
        <v>70</v>
      </c>
      <c r="F21" s="3" t="s">
        <v>97</v>
      </c>
    </row>
    <row r="22" spans="1:6">
      <c r="A22" s="3" t="s">
        <v>71</v>
      </c>
      <c r="B22" s="3" t="s">
        <v>72</v>
      </c>
      <c r="C22" s="3" t="s">
        <v>115</v>
      </c>
      <c r="D22" s="3" t="s">
        <v>70</v>
      </c>
      <c r="E22" s="3" t="s">
        <v>79</v>
      </c>
      <c r="F22" s="3" t="s">
        <v>97</v>
      </c>
    </row>
    <row r="23" spans="1:6">
      <c r="A23" s="3" t="s">
        <v>80</v>
      </c>
      <c r="B23" s="3" t="s">
        <v>81</v>
      </c>
      <c r="C23" s="3" t="s">
        <v>110</v>
      </c>
      <c r="D23" s="3" t="s">
        <v>85</v>
      </c>
      <c r="E23" s="3" t="s">
        <v>78</v>
      </c>
      <c r="F23" s="3" t="s">
        <v>51</v>
      </c>
    </row>
    <row r="24" spans="1:6">
      <c r="A24" s="3" t="s">
        <v>80</v>
      </c>
      <c r="B24" s="3" t="s">
        <v>81</v>
      </c>
      <c r="C24" s="3" t="s">
        <v>111</v>
      </c>
      <c r="D24" s="3" t="s">
        <v>55</v>
      </c>
      <c r="E24" s="3" t="s">
        <v>117</v>
      </c>
      <c r="F24" s="3" t="s">
        <v>17</v>
      </c>
    </row>
    <row r="25" spans="1:6">
      <c r="A25" s="3" t="s">
        <v>80</v>
      </c>
      <c r="B25" s="3" t="s">
        <v>81</v>
      </c>
      <c r="C25" s="3" t="s">
        <v>113</v>
      </c>
      <c r="D25" s="3" t="s">
        <v>119</v>
      </c>
      <c r="E25" s="3" t="s">
        <v>64</v>
      </c>
      <c r="F25" s="3" t="s">
        <v>97</v>
      </c>
    </row>
    <row r="26" spans="1:6">
      <c r="A26" s="3" t="s">
        <v>80</v>
      </c>
      <c r="B26" s="3" t="s">
        <v>81</v>
      </c>
      <c r="C26" s="3" t="s">
        <v>118</v>
      </c>
      <c r="D26" s="3" t="s">
        <v>70</v>
      </c>
      <c r="E26" s="3" t="s">
        <v>70</v>
      </c>
      <c r="F26" s="3" t="s">
        <v>97</v>
      </c>
    </row>
    <row r="27" spans="1:6">
      <c r="A27" s="3" t="s">
        <v>80</v>
      </c>
      <c r="B27" s="3" t="s">
        <v>81</v>
      </c>
      <c r="C27" s="3" t="s">
        <v>115</v>
      </c>
      <c r="D27" s="3" t="s">
        <v>79</v>
      </c>
      <c r="E27" s="3" t="s">
        <v>86</v>
      </c>
      <c r="F27" s="3" t="s">
        <v>97</v>
      </c>
    </row>
    <row r="28" spans="1:6">
      <c r="A28" s="3" t="s">
        <v>87</v>
      </c>
      <c r="B28" s="3" t="s">
        <v>88</v>
      </c>
      <c r="C28" s="3" t="s">
        <v>110</v>
      </c>
      <c r="D28" s="3" t="s">
        <v>55</v>
      </c>
      <c r="E28" s="3" t="s">
        <v>116</v>
      </c>
      <c r="F28" s="3" t="s">
        <v>51</v>
      </c>
    </row>
    <row r="29" spans="1:6">
      <c r="A29" s="3" t="s">
        <v>87</v>
      </c>
      <c r="B29" s="3" t="s">
        <v>88</v>
      </c>
      <c r="C29" s="3" t="s">
        <v>123</v>
      </c>
      <c r="D29" s="3" t="s">
        <v>116</v>
      </c>
      <c r="E29" s="3" t="s">
        <v>117</v>
      </c>
      <c r="F29" s="3" t="s">
        <v>75</v>
      </c>
    </row>
    <row r="30" spans="1:6">
      <c r="A30" s="3" t="s">
        <v>87</v>
      </c>
      <c r="B30" s="3" t="s">
        <v>88</v>
      </c>
      <c r="C30" s="3" t="s">
        <v>124</v>
      </c>
      <c r="D30" s="3" t="s">
        <v>119</v>
      </c>
      <c r="E30" s="3" t="s">
        <v>70</v>
      </c>
      <c r="F30" s="3" t="s">
        <v>97</v>
      </c>
    </row>
    <row r="31" spans="1:6">
      <c r="A31" s="3" t="s">
        <v>87</v>
      </c>
      <c r="B31" s="3" t="s">
        <v>88</v>
      </c>
      <c r="C31" s="3" t="s">
        <v>113</v>
      </c>
      <c r="D31" s="3" t="s">
        <v>70</v>
      </c>
      <c r="E31" s="3" t="s">
        <v>79</v>
      </c>
      <c r="F31" s="3" t="s">
        <v>97</v>
      </c>
    </row>
    <row r="32" spans="1:6">
      <c r="A32" s="3" t="s">
        <v>87</v>
      </c>
      <c r="B32" s="3" t="s">
        <v>88</v>
      </c>
      <c r="C32" s="3" t="s">
        <v>115</v>
      </c>
      <c r="D32" s="3" t="s">
        <v>86</v>
      </c>
      <c r="E32" s="3" t="s">
        <v>92</v>
      </c>
      <c r="F32" s="3" t="s">
        <v>97</v>
      </c>
    </row>
    <row r="33" spans="1:6">
      <c r="A33" s="3" t="s">
        <v>93</v>
      </c>
      <c r="B33" s="3" t="s">
        <v>94</v>
      </c>
      <c r="C33" s="3" t="s">
        <v>110</v>
      </c>
      <c r="D33" s="3" t="s">
        <v>64</v>
      </c>
      <c r="E33" s="3" t="s">
        <v>70</v>
      </c>
      <c r="F33" s="3" t="s">
        <v>97</v>
      </c>
    </row>
    <row r="34" spans="1:6">
      <c r="A34" s="3" t="s">
        <v>93</v>
      </c>
      <c r="B34" s="3" t="s">
        <v>94</v>
      </c>
      <c r="C34" s="3" t="s">
        <v>111</v>
      </c>
      <c r="D34" s="3" t="s">
        <v>70</v>
      </c>
      <c r="E34" s="3" t="s">
        <v>86</v>
      </c>
      <c r="F34" s="3" t="s">
        <v>97</v>
      </c>
    </row>
    <row r="35" spans="1:6">
      <c r="A35" s="3" t="s">
        <v>93</v>
      </c>
      <c r="B35" s="3" t="s">
        <v>94</v>
      </c>
      <c r="C35" s="3" t="s">
        <v>113</v>
      </c>
      <c r="D35" s="3" t="s">
        <v>86</v>
      </c>
      <c r="E35" s="3" t="s">
        <v>92</v>
      </c>
      <c r="F35" s="3" t="s">
        <v>97</v>
      </c>
    </row>
    <row r="36" spans="1:6">
      <c r="A36" s="3" t="s">
        <v>93</v>
      </c>
      <c r="B36" s="3" t="s">
        <v>94</v>
      </c>
      <c r="C36" s="3" t="s">
        <v>118</v>
      </c>
      <c r="D36" s="3" t="s">
        <v>92</v>
      </c>
      <c r="E36" s="3" t="s">
        <v>125</v>
      </c>
      <c r="F36" s="3" t="s">
        <v>97</v>
      </c>
    </row>
    <row r="37" spans="1:6">
      <c r="A37" s="3" t="s">
        <v>93</v>
      </c>
      <c r="B37" s="3" t="s">
        <v>94</v>
      </c>
      <c r="C37" s="3" t="s">
        <v>115</v>
      </c>
      <c r="D37" s="3" t="s">
        <v>125</v>
      </c>
      <c r="E37" s="3" t="s">
        <v>100</v>
      </c>
      <c r="F37" s="3" t="s">
        <v>97</v>
      </c>
    </row>
  </sheetData>
  <autoFilter ref="A1:F3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H14"/>
  <sheetViews>
    <sheetView zoomScaleNormal="100" workbookViewId="0">
      <pane ySplit="2" topLeftCell="A3" activePane="bottomLeft" state="frozen"/>
      <selection pane="bottomLeft" activeCell="C17" sqref="C17"/>
    </sheetView>
  </sheetViews>
  <sheetFormatPr defaultColWidth="8.5703125" defaultRowHeight="14.45"/>
  <cols>
    <col min="1" max="1" width="12" customWidth="1"/>
    <col min="2" max="2" width="28" customWidth="1"/>
    <col min="3" max="3" width="26" customWidth="1"/>
    <col min="4" max="7" width="16" customWidth="1"/>
    <col min="8" max="8" width="22" customWidth="1"/>
  </cols>
  <sheetData>
    <row r="1" spans="1:8">
      <c r="A1" s="1" t="s">
        <v>102</v>
      </c>
      <c r="B1" s="1" t="s">
        <v>29</v>
      </c>
      <c r="C1" s="1" t="s">
        <v>126</v>
      </c>
      <c r="D1" s="1" t="s">
        <v>16</v>
      </c>
      <c r="E1" s="1" t="s">
        <v>127</v>
      </c>
      <c r="F1" s="1" t="s">
        <v>61</v>
      </c>
      <c r="G1" s="1" t="s">
        <v>52</v>
      </c>
      <c r="H1" s="1" t="s">
        <v>128</v>
      </c>
    </row>
    <row r="2" spans="1:8" ht="48">
      <c r="A2" s="4" t="s">
        <v>129</v>
      </c>
      <c r="B2" s="4" t="s">
        <v>39</v>
      </c>
      <c r="C2" s="4" t="s">
        <v>130</v>
      </c>
      <c r="D2" s="4" t="s">
        <v>131</v>
      </c>
      <c r="E2" s="4" t="s">
        <v>132</v>
      </c>
      <c r="F2" s="4" t="s">
        <v>132</v>
      </c>
      <c r="G2" s="4" t="s">
        <v>132</v>
      </c>
      <c r="H2" s="4" t="s">
        <v>133</v>
      </c>
    </row>
    <row r="3" spans="1:8">
      <c r="A3" s="3" t="s">
        <v>47</v>
      </c>
      <c r="B3" s="3" t="s">
        <v>48</v>
      </c>
      <c r="C3" s="3" t="s">
        <v>134</v>
      </c>
      <c r="D3" s="3" t="s">
        <v>52</v>
      </c>
      <c r="E3" s="3" t="s">
        <v>51</v>
      </c>
      <c r="F3" s="3" t="s">
        <v>51</v>
      </c>
      <c r="G3" s="3" t="s">
        <v>51</v>
      </c>
      <c r="H3" s="3" t="s">
        <v>50</v>
      </c>
    </row>
    <row r="4" spans="1:8">
      <c r="A4" s="3" t="s">
        <v>47</v>
      </c>
      <c r="B4" s="3" t="s">
        <v>48</v>
      </c>
      <c r="C4" s="3" t="s">
        <v>135</v>
      </c>
      <c r="D4" s="3" t="s">
        <v>52</v>
      </c>
      <c r="E4" s="3" t="s">
        <v>51</v>
      </c>
      <c r="F4" s="3" t="s">
        <v>51</v>
      </c>
      <c r="G4" s="3" t="s">
        <v>51</v>
      </c>
      <c r="H4" s="3" t="s">
        <v>50</v>
      </c>
    </row>
    <row r="5" spans="1:8">
      <c r="A5" s="3" t="s">
        <v>56</v>
      </c>
      <c r="B5" s="3" t="s">
        <v>57</v>
      </c>
      <c r="C5" s="3" t="s">
        <v>136</v>
      </c>
      <c r="D5" s="3" t="s">
        <v>61</v>
      </c>
      <c r="E5" s="3" t="s">
        <v>51</v>
      </c>
      <c r="F5" s="3" t="s">
        <v>17</v>
      </c>
      <c r="G5" s="3" t="s">
        <v>137</v>
      </c>
      <c r="H5" s="3" t="s">
        <v>59</v>
      </c>
    </row>
    <row r="6" spans="1:8">
      <c r="A6" s="3" t="s">
        <v>56</v>
      </c>
      <c r="B6" s="3" t="s">
        <v>57</v>
      </c>
      <c r="C6" s="3" t="s">
        <v>138</v>
      </c>
      <c r="D6" s="3" t="s">
        <v>61</v>
      </c>
      <c r="E6" s="3" t="s">
        <v>51</v>
      </c>
      <c r="F6" s="3" t="s">
        <v>17</v>
      </c>
      <c r="G6" s="3" t="s">
        <v>137</v>
      </c>
      <c r="H6" s="3" t="s">
        <v>59</v>
      </c>
    </row>
    <row r="7" spans="1:8">
      <c r="A7" s="3" t="s">
        <v>65</v>
      </c>
      <c r="B7" s="3" t="s">
        <v>66</v>
      </c>
      <c r="C7" s="3" t="s">
        <v>139</v>
      </c>
      <c r="D7" s="3" t="s">
        <v>61</v>
      </c>
      <c r="E7" s="3" t="s">
        <v>51</v>
      </c>
      <c r="F7" s="3" t="s">
        <v>17</v>
      </c>
      <c r="G7" s="3" t="s">
        <v>137</v>
      </c>
      <c r="H7" s="3" t="s">
        <v>68</v>
      </c>
    </row>
    <row r="8" spans="1:8">
      <c r="A8" s="3" t="s">
        <v>65</v>
      </c>
      <c r="B8" s="3" t="s">
        <v>66</v>
      </c>
      <c r="C8" s="3" t="s">
        <v>140</v>
      </c>
      <c r="D8" s="3" t="s">
        <v>76</v>
      </c>
      <c r="E8" s="3" t="s">
        <v>17</v>
      </c>
      <c r="F8" s="3" t="s">
        <v>137</v>
      </c>
      <c r="G8" s="3" t="s">
        <v>137</v>
      </c>
      <c r="H8" s="3" t="s">
        <v>68</v>
      </c>
    </row>
    <row r="9" spans="1:8">
      <c r="A9" s="3" t="s">
        <v>71</v>
      </c>
      <c r="B9" s="3" t="s">
        <v>72</v>
      </c>
      <c r="C9" s="3" t="s">
        <v>141</v>
      </c>
      <c r="D9" s="3" t="s">
        <v>76</v>
      </c>
      <c r="E9" s="3" t="s">
        <v>17</v>
      </c>
      <c r="F9" s="3" t="s">
        <v>137</v>
      </c>
      <c r="G9" s="3" t="s">
        <v>137</v>
      </c>
      <c r="H9" s="3" t="s">
        <v>74</v>
      </c>
    </row>
    <row r="10" spans="1:8">
      <c r="A10" s="3" t="s">
        <v>71</v>
      </c>
      <c r="B10" s="3" t="s">
        <v>72</v>
      </c>
      <c r="C10" s="3" t="s">
        <v>142</v>
      </c>
      <c r="D10" s="3" t="s">
        <v>98</v>
      </c>
      <c r="E10" s="3" t="s">
        <v>137</v>
      </c>
      <c r="F10" s="3" t="s">
        <v>137</v>
      </c>
      <c r="G10" s="3" t="s">
        <v>137</v>
      </c>
      <c r="H10" s="3" t="s">
        <v>74</v>
      </c>
    </row>
    <row r="11" spans="1:8">
      <c r="A11" s="3" t="s">
        <v>80</v>
      </c>
      <c r="B11" s="3" t="s">
        <v>81</v>
      </c>
      <c r="C11" s="3" t="s">
        <v>143</v>
      </c>
      <c r="D11" s="3" t="s">
        <v>61</v>
      </c>
      <c r="E11" s="3" t="s">
        <v>51</v>
      </c>
      <c r="F11" s="3" t="s">
        <v>17</v>
      </c>
      <c r="G11" s="3" t="s">
        <v>137</v>
      </c>
      <c r="H11" s="3" t="s">
        <v>83</v>
      </c>
    </row>
    <row r="12" spans="1:8">
      <c r="A12" s="3" t="s">
        <v>80</v>
      </c>
      <c r="B12" s="3" t="s">
        <v>81</v>
      </c>
      <c r="C12" s="3" t="s">
        <v>144</v>
      </c>
      <c r="D12" s="3" t="s">
        <v>76</v>
      </c>
      <c r="E12" s="3" t="s">
        <v>17</v>
      </c>
      <c r="F12" s="3" t="s">
        <v>137</v>
      </c>
      <c r="G12" s="3" t="s">
        <v>137</v>
      </c>
      <c r="H12" s="3" t="s">
        <v>83</v>
      </c>
    </row>
    <row r="13" spans="1:8">
      <c r="A13" s="3" t="s">
        <v>87</v>
      </c>
      <c r="B13" s="3" t="s">
        <v>145</v>
      </c>
      <c r="C13" s="3" t="s">
        <v>146</v>
      </c>
      <c r="D13" s="3" t="s">
        <v>76</v>
      </c>
      <c r="E13" s="3" t="s">
        <v>17</v>
      </c>
      <c r="F13" s="3" t="s">
        <v>137</v>
      </c>
      <c r="G13" s="3" t="s">
        <v>137</v>
      </c>
      <c r="H13" s="3" t="s">
        <v>90</v>
      </c>
    </row>
    <row r="14" spans="1:8">
      <c r="A14" s="3" t="s">
        <v>93</v>
      </c>
      <c r="B14" s="3" t="s">
        <v>94</v>
      </c>
      <c r="C14" s="3" t="s">
        <v>147</v>
      </c>
      <c r="D14" s="3" t="s">
        <v>97</v>
      </c>
      <c r="E14" s="3" t="s">
        <v>137</v>
      </c>
      <c r="F14" s="3" t="s">
        <v>137</v>
      </c>
      <c r="G14" s="3" t="s">
        <v>137</v>
      </c>
      <c r="H14" s="3" t="s">
        <v>96</v>
      </c>
    </row>
  </sheetData>
  <autoFilter ref="A1:H14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K10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6" customWidth="1"/>
    <col min="2" max="2" width="14" customWidth="1"/>
    <col min="3" max="3" width="40" customWidth="1"/>
    <col min="4" max="4" width="28" customWidth="1"/>
    <col min="5" max="6" width="12" customWidth="1"/>
    <col min="7" max="7" width="14" customWidth="1"/>
    <col min="8" max="8" width="40" customWidth="1"/>
    <col min="9" max="9" width="18" customWidth="1"/>
    <col min="10" max="11" width="14" customWidth="1"/>
  </cols>
  <sheetData>
    <row r="1" spans="1:11">
      <c r="A1" s="1" t="s">
        <v>28</v>
      </c>
      <c r="B1" s="1" t="s">
        <v>148</v>
      </c>
      <c r="C1" s="1" t="s">
        <v>149</v>
      </c>
      <c r="D1" s="1" t="s">
        <v>150</v>
      </c>
      <c r="E1" s="1" t="s">
        <v>151</v>
      </c>
      <c r="F1" s="1" t="s">
        <v>152</v>
      </c>
      <c r="G1" s="1" t="s">
        <v>153</v>
      </c>
      <c r="H1" s="1" t="s">
        <v>154</v>
      </c>
      <c r="I1" s="1" t="s">
        <v>31</v>
      </c>
      <c r="J1" s="1" t="s">
        <v>32</v>
      </c>
      <c r="K1" s="1" t="s">
        <v>155</v>
      </c>
    </row>
    <row r="2" spans="1:11" ht="48">
      <c r="A2" s="4" t="s">
        <v>39</v>
      </c>
      <c r="B2" s="4" t="s">
        <v>156</v>
      </c>
      <c r="C2" s="4" t="s">
        <v>157</v>
      </c>
      <c r="D2" s="4" t="s">
        <v>40</v>
      </c>
      <c r="E2" s="4" t="s">
        <v>158</v>
      </c>
      <c r="F2" s="4" t="s">
        <v>159</v>
      </c>
      <c r="G2" s="4" t="s">
        <v>160</v>
      </c>
      <c r="H2" s="4" t="s">
        <v>161</v>
      </c>
      <c r="I2" s="4" t="s">
        <v>133</v>
      </c>
      <c r="J2" s="4" t="s">
        <v>162</v>
      </c>
      <c r="K2" s="4" t="s">
        <v>163</v>
      </c>
    </row>
    <row r="3" spans="1:11">
      <c r="A3" s="3" t="s">
        <v>164</v>
      </c>
      <c r="B3" s="3" t="s">
        <v>165</v>
      </c>
      <c r="C3" s="3" t="s">
        <v>166</v>
      </c>
      <c r="D3" s="3" t="s">
        <v>72</v>
      </c>
      <c r="E3" s="3" t="s">
        <v>167</v>
      </c>
      <c r="F3" s="3" t="s">
        <v>167</v>
      </c>
      <c r="G3" s="3" t="s">
        <v>168</v>
      </c>
      <c r="H3" s="3" t="s">
        <v>169</v>
      </c>
      <c r="I3" s="3" t="s">
        <v>74</v>
      </c>
      <c r="J3" s="3" t="s">
        <v>170</v>
      </c>
      <c r="K3" s="3" t="s">
        <v>171</v>
      </c>
    </row>
    <row r="4" spans="1:11" ht="24.95">
      <c r="A4" s="3" t="s">
        <v>172</v>
      </c>
      <c r="B4" s="3" t="s">
        <v>165</v>
      </c>
      <c r="C4" s="3" t="s">
        <v>173</v>
      </c>
      <c r="D4" s="3" t="s">
        <v>66</v>
      </c>
      <c r="E4" s="3" t="s">
        <v>167</v>
      </c>
      <c r="F4" s="3" t="s">
        <v>167</v>
      </c>
      <c r="G4" s="3" t="s">
        <v>174</v>
      </c>
      <c r="H4" s="3" t="s">
        <v>175</v>
      </c>
      <c r="I4" s="3" t="s">
        <v>176</v>
      </c>
      <c r="J4" s="3" t="s">
        <v>170</v>
      </c>
      <c r="K4" s="3" t="s">
        <v>177</v>
      </c>
    </row>
    <row r="5" spans="1:11">
      <c r="A5" s="3" t="s">
        <v>178</v>
      </c>
      <c r="B5" s="3" t="s">
        <v>165</v>
      </c>
      <c r="C5" s="3" t="s">
        <v>179</v>
      </c>
      <c r="D5" s="3" t="s">
        <v>48</v>
      </c>
      <c r="E5" s="3" t="s">
        <v>180</v>
      </c>
      <c r="F5" s="3" t="s">
        <v>180</v>
      </c>
      <c r="G5" s="3" t="s">
        <v>181</v>
      </c>
      <c r="H5" s="3" t="s">
        <v>182</v>
      </c>
      <c r="I5" s="3" t="s">
        <v>50</v>
      </c>
      <c r="J5" s="3" t="s">
        <v>183</v>
      </c>
      <c r="K5" s="3" t="s">
        <v>184</v>
      </c>
    </row>
    <row r="6" spans="1:11" ht="24.95">
      <c r="A6" s="3" t="s">
        <v>185</v>
      </c>
      <c r="B6" s="3" t="s">
        <v>165</v>
      </c>
      <c r="C6" s="3" t="s">
        <v>186</v>
      </c>
      <c r="D6" s="3" t="s">
        <v>66</v>
      </c>
      <c r="E6" s="3" t="s">
        <v>180</v>
      </c>
      <c r="F6" s="3" t="s">
        <v>180</v>
      </c>
      <c r="G6" s="3" t="s">
        <v>187</v>
      </c>
      <c r="H6" s="3" t="s">
        <v>188</v>
      </c>
      <c r="I6" s="3" t="s">
        <v>68</v>
      </c>
      <c r="J6" s="3" t="s">
        <v>183</v>
      </c>
      <c r="K6" s="3" t="s">
        <v>189</v>
      </c>
    </row>
    <row r="7" spans="1:11" ht="24.95">
      <c r="A7" s="3" t="s">
        <v>190</v>
      </c>
      <c r="B7" s="3" t="s">
        <v>165</v>
      </c>
      <c r="C7" s="3" t="s">
        <v>191</v>
      </c>
      <c r="D7" s="3" t="s">
        <v>145</v>
      </c>
      <c r="E7" s="3" t="s">
        <v>192</v>
      </c>
      <c r="F7" s="3" t="s">
        <v>192</v>
      </c>
      <c r="G7" s="3" t="s">
        <v>174</v>
      </c>
      <c r="H7" s="3" t="s">
        <v>193</v>
      </c>
      <c r="I7" s="3" t="s">
        <v>90</v>
      </c>
      <c r="J7" s="3" t="s">
        <v>183</v>
      </c>
      <c r="K7" s="3" t="s">
        <v>194</v>
      </c>
    </row>
    <row r="8" spans="1:11" ht="24.95">
      <c r="A8" s="3" t="s">
        <v>195</v>
      </c>
      <c r="B8" s="3" t="s">
        <v>196</v>
      </c>
      <c r="C8" s="3" t="s">
        <v>197</v>
      </c>
      <c r="D8" s="3" t="s">
        <v>94</v>
      </c>
      <c r="E8" s="3" t="s">
        <v>167</v>
      </c>
      <c r="F8" s="3" t="s">
        <v>198</v>
      </c>
      <c r="G8" s="3" t="s">
        <v>187</v>
      </c>
      <c r="H8" s="3" t="s">
        <v>199</v>
      </c>
      <c r="I8" s="3" t="s">
        <v>200</v>
      </c>
      <c r="J8" s="3" t="s">
        <v>201</v>
      </c>
      <c r="K8" s="3" t="s">
        <v>202</v>
      </c>
    </row>
    <row r="9" spans="1:11" ht="24.95">
      <c r="A9" s="3" t="s">
        <v>203</v>
      </c>
      <c r="B9" s="3" t="s">
        <v>196</v>
      </c>
      <c r="C9" s="3" t="s">
        <v>204</v>
      </c>
      <c r="D9" s="3" t="s">
        <v>205</v>
      </c>
      <c r="E9" s="3" t="s">
        <v>180</v>
      </c>
      <c r="F9" s="3" t="s">
        <v>180</v>
      </c>
      <c r="G9" s="3" t="s">
        <v>168</v>
      </c>
      <c r="H9" s="3" t="s">
        <v>206</v>
      </c>
      <c r="I9" s="3" t="s">
        <v>207</v>
      </c>
      <c r="J9" s="3" t="s">
        <v>208</v>
      </c>
      <c r="K9" s="3" t="s">
        <v>209</v>
      </c>
    </row>
    <row r="10" spans="1:11">
      <c r="A10" s="3" t="s">
        <v>210</v>
      </c>
      <c r="B10" s="3" t="s">
        <v>196</v>
      </c>
      <c r="C10" s="3" t="s">
        <v>211</v>
      </c>
      <c r="D10" s="3" t="s">
        <v>66</v>
      </c>
      <c r="E10" s="3" t="s">
        <v>180</v>
      </c>
      <c r="F10" s="3" t="s">
        <v>180</v>
      </c>
      <c r="G10" s="3" t="s">
        <v>174</v>
      </c>
      <c r="H10" s="3" t="s">
        <v>212</v>
      </c>
      <c r="I10" s="3" t="s">
        <v>68</v>
      </c>
      <c r="J10" s="3" t="s">
        <v>208</v>
      </c>
      <c r="K10" s="3" t="s">
        <v>177</v>
      </c>
    </row>
  </sheetData>
  <autoFilter ref="A1:K10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E36"/>
  <sheetViews>
    <sheetView tabSelected="1" zoomScaleNormal="100" workbookViewId="0">
      <pane ySplit="2" topLeftCell="A15" activePane="bottomLeft" state="frozen"/>
      <selection pane="bottomLeft" activeCell="B27" sqref="B27"/>
    </sheetView>
  </sheetViews>
  <sheetFormatPr defaultColWidth="8.5703125" defaultRowHeight="14.45"/>
  <cols>
    <col min="1" max="1" width="20" customWidth="1"/>
    <col min="2" max="2" width="26" customWidth="1"/>
    <col min="3" max="3" width="24" customWidth="1"/>
    <col min="4" max="4" width="30.85546875" customWidth="1"/>
    <col min="5" max="5" width="24" customWidth="1"/>
  </cols>
  <sheetData>
    <row r="1" spans="1:5">
      <c r="A1" s="1" t="s">
        <v>213</v>
      </c>
      <c r="B1" s="1" t="s">
        <v>214</v>
      </c>
      <c r="C1" s="1" t="s">
        <v>133</v>
      </c>
      <c r="D1" s="1" t="s">
        <v>215</v>
      </c>
      <c r="E1" s="1" t="s">
        <v>30</v>
      </c>
    </row>
    <row r="2" spans="1:5" ht="48">
      <c r="A2" s="4" t="s">
        <v>216</v>
      </c>
      <c r="B2" s="4" t="s">
        <v>217</v>
      </c>
      <c r="C2" s="4" t="s">
        <v>218</v>
      </c>
      <c r="D2" s="4" t="s">
        <v>219</v>
      </c>
      <c r="E2" s="4" t="s">
        <v>220</v>
      </c>
    </row>
    <row r="3" spans="1:5" ht="15">
      <c r="A3" s="21" t="s">
        <v>6</v>
      </c>
      <c r="B3" s="21" t="s">
        <v>221</v>
      </c>
      <c r="C3" s="21" t="s">
        <v>222</v>
      </c>
      <c r="D3" s="21" t="s">
        <v>223</v>
      </c>
      <c r="E3" s="21" t="s">
        <v>224</v>
      </c>
    </row>
    <row r="4" spans="1:5" ht="24">
      <c r="A4" s="21" t="s">
        <v>225</v>
      </c>
      <c r="B4" s="21" t="s">
        <v>226</v>
      </c>
      <c r="C4" s="21" t="s">
        <v>227</v>
      </c>
      <c r="D4" s="21" t="s">
        <v>228</v>
      </c>
      <c r="E4" s="23" t="s">
        <v>229</v>
      </c>
    </row>
    <row r="5" spans="1:5" ht="15">
      <c r="A5" s="21" t="s">
        <v>225</v>
      </c>
      <c r="B5" s="21" t="s">
        <v>226</v>
      </c>
      <c r="C5" s="21" t="s">
        <v>230</v>
      </c>
      <c r="D5" s="21" t="s">
        <v>231</v>
      </c>
      <c r="E5" s="21" t="s">
        <v>232</v>
      </c>
    </row>
    <row r="6" spans="1:5" ht="15">
      <c r="A6" s="21" t="s">
        <v>225</v>
      </c>
      <c r="B6" s="21" t="s">
        <v>226</v>
      </c>
      <c r="C6" s="21" t="s">
        <v>233</v>
      </c>
      <c r="D6" s="21" t="s">
        <v>234</v>
      </c>
      <c r="E6" s="21" t="s">
        <v>235</v>
      </c>
    </row>
    <row r="7" spans="1:5" ht="24">
      <c r="A7" s="21" t="s">
        <v>225</v>
      </c>
      <c r="B7" s="21" t="s">
        <v>226</v>
      </c>
      <c r="C7" s="21" t="s">
        <v>236</v>
      </c>
      <c r="D7" s="21" t="s">
        <v>237</v>
      </c>
      <c r="E7" s="21" t="s">
        <v>238</v>
      </c>
    </row>
    <row r="8" spans="1:5" ht="15">
      <c r="A8" s="21" t="s">
        <v>239</v>
      </c>
      <c r="B8" s="21" t="s">
        <v>8</v>
      </c>
      <c r="C8" s="21" t="s">
        <v>240</v>
      </c>
      <c r="D8" s="21" t="s">
        <v>241</v>
      </c>
      <c r="E8" s="23" t="s">
        <v>229</v>
      </c>
    </row>
    <row r="9" spans="1:5" ht="24">
      <c r="A9" s="21" t="s">
        <v>239</v>
      </c>
      <c r="B9" s="21" t="s">
        <v>242</v>
      </c>
      <c r="C9" s="21" t="s">
        <v>243</v>
      </c>
      <c r="D9" s="21" t="s">
        <v>242</v>
      </c>
      <c r="E9" s="23" t="s">
        <v>229</v>
      </c>
    </row>
    <row r="10" spans="1:5" ht="15">
      <c r="A10" s="21" t="s">
        <v>239</v>
      </c>
      <c r="B10" s="21" t="s">
        <v>242</v>
      </c>
      <c r="C10" s="21" t="s">
        <v>244</v>
      </c>
      <c r="D10" s="21" t="s">
        <v>245</v>
      </c>
      <c r="E10" s="21" t="s">
        <v>246</v>
      </c>
    </row>
    <row r="11" spans="1:5" ht="15">
      <c r="A11" s="21" t="s">
        <v>239</v>
      </c>
      <c r="B11" s="21" t="s">
        <v>242</v>
      </c>
      <c r="C11" s="21" t="s">
        <v>247</v>
      </c>
      <c r="D11" s="21" t="s">
        <v>248</v>
      </c>
      <c r="E11" s="22" t="s">
        <v>249</v>
      </c>
    </row>
    <row r="12" spans="1:5" ht="24">
      <c r="A12" s="21" t="s">
        <v>239</v>
      </c>
      <c r="B12" s="21" t="s">
        <v>242</v>
      </c>
      <c r="C12" s="21" t="s">
        <v>250</v>
      </c>
      <c r="D12" s="21" t="s">
        <v>251</v>
      </c>
      <c r="E12" s="22" t="s">
        <v>252</v>
      </c>
    </row>
    <row r="13" spans="1:5" ht="15">
      <c r="A13" s="21" t="s">
        <v>253</v>
      </c>
      <c r="B13" s="21" t="s">
        <v>254</v>
      </c>
      <c r="C13" s="21" t="s">
        <v>255</v>
      </c>
      <c r="D13" s="21" t="s">
        <v>254</v>
      </c>
      <c r="E13" s="23" t="s">
        <v>229</v>
      </c>
    </row>
    <row r="14" spans="1:5" ht="15">
      <c r="A14" s="21" t="s">
        <v>253</v>
      </c>
      <c r="B14" s="21" t="s">
        <v>256</v>
      </c>
      <c r="C14" s="21" t="s">
        <v>257</v>
      </c>
      <c r="D14" s="21" t="s">
        <v>256</v>
      </c>
      <c r="E14" s="23" t="s">
        <v>229</v>
      </c>
    </row>
    <row r="15" spans="1:5" ht="15">
      <c r="A15" s="21" t="s">
        <v>258</v>
      </c>
      <c r="B15" s="21" t="s">
        <v>259</v>
      </c>
      <c r="C15" s="21" t="s">
        <v>260</v>
      </c>
      <c r="D15" s="21" t="s">
        <v>259</v>
      </c>
      <c r="E15" s="23" t="s">
        <v>229</v>
      </c>
    </row>
    <row r="16" spans="1:5" ht="24">
      <c r="A16" s="21" t="s">
        <v>258</v>
      </c>
      <c r="B16" s="21" t="s">
        <v>226</v>
      </c>
      <c r="C16" s="21" t="s">
        <v>227</v>
      </c>
      <c r="D16" s="21" t="s">
        <v>261</v>
      </c>
      <c r="E16" s="23" t="s">
        <v>229</v>
      </c>
    </row>
    <row r="17" spans="1:5" ht="15">
      <c r="A17" s="21" t="s">
        <v>258</v>
      </c>
      <c r="B17" s="21" t="s">
        <v>226</v>
      </c>
      <c r="C17" s="21" t="s">
        <v>230</v>
      </c>
      <c r="D17" s="21" t="s">
        <v>231</v>
      </c>
      <c r="E17" s="21" t="s">
        <v>232</v>
      </c>
    </row>
    <row r="18" spans="1:5" ht="24">
      <c r="A18" s="21" t="s">
        <v>258</v>
      </c>
      <c r="B18" s="21" t="s">
        <v>262</v>
      </c>
      <c r="C18" s="21" t="s">
        <v>263</v>
      </c>
      <c r="D18" s="21" t="s">
        <v>262</v>
      </c>
      <c r="E18" s="21" t="s">
        <v>235</v>
      </c>
    </row>
    <row r="19" spans="1:5" ht="15">
      <c r="A19" s="21" t="s">
        <v>264</v>
      </c>
      <c r="B19" s="21" t="s">
        <v>265</v>
      </c>
      <c r="C19" s="21" t="s">
        <v>266</v>
      </c>
      <c r="D19" s="21" t="s">
        <v>265</v>
      </c>
      <c r="E19" s="21" t="s">
        <v>229</v>
      </c>
    </row>
    <row r="20" spans="1:5" ht="15">
      <c r="A20" s="21" t="s">
        <v>264</v>
      </c>
      <c r="B20" s="21" t="s">
        <v>265</v>
      </c>
      <c r="C20" s="21" t="s">
        <v>267</v>
      </c>
      <c r="D20" s="21" t="s">
        <v>265</v>
      </c>
      <c r="E20" s="21" t="s">
        <v>229</v>
      </c>
    </row>
    <row r="21" spans="1:5" ht="15">
      <c r="A21" s="21" t="s">
        <v>264</v>
      </c>
      <c r="B21" s="21" t="s">
        <v>265</v>
      </c>
      <c r="C21" s="21" t="s">
        <v>268</v>
      </c>
      <c r="D21" s="21" t="s">
        <v>265</v>
      </c>
      <c r="E21" s="21" t="s">
        <v>229</v>
      </c>
    </row>
    <row r="22" spans="1:5" ht="15">
      <c r="A22" s="3" t="s">
        <v>264</v>
      </c>
      <c r="B22" s="21" t="s">
        <v>242</v>
      </c>
      <c r="C22" s="21" t="s">
        <v>244</v>
      </c>
      <c r="D22" s="3"/>
      <c r="E22" s="3" t="s">
        <v>246</v>
      </c>
    </row>
    <row r="23" spans="1:5" ht="15">
      <c r="A23" s="3" t="s">
        <v>264</v>
      </c>
      <c r="B23" s="21" t="s">
        <v>242</v>
      </c>
      <c r="C23" s="21" t="s">
        <v>269</v>
      </c>
      <c r="D23" s="3"/>
      <c r="E23" s="3" t="s">
        <v>246</v>
      </c>
    </row>
    <row r="24" spans="1:5" ht="15">
      <c r="A24" s="3" t="s">
        <v>264</v>
      </c>
      <c r="B24" s="3"/>
      <c r="C24" s="3"/>
      <c r="D24" s="3"/>
      <c r="E24" s="3" t="s">
        <v>246</v>
      </c>
    </row>
    <row r="25" spans="1:5" ht="15">
      <c r="A25" s="3" t="s">
        <v>264</v>
      </c>
      <c r="B25" s="3"/>
      <c r="C25" s="3"/>
      <c r="D25" s="3"/>
      <c r="E25" s="3" t="s">
        <v>246</v>
      </c>
    </row>
    <row r="26" spans="1:5" ht="24">
      <c r="A26" s="3" t="s">
        <v>264</v>
      </c>
      <c r="B26" s="3" t="s">
        <v>270</v>
      </c>
      <c r="C26" s="3" t="s">
        <v>271</v>
      </c>
      <c r="D26" s="3"/>
      <c r="E26" s="3" t="s">
        <v>249</v>
      </c>
    </row>
    <row r="27" spans="1:5" ht="15">
      <c r="A27" s="3" t="s">
        <v>264</v>
      </c>
      <c r="B27" s="3"/>
      <c r="C27" s="3"/>
      <c r="D27" s="3"/>
      <c r="E27" s="3" t="s">
        <v>249</v>
      </c>
    </row>
    <row r="28" spans="1:5" ht="15">
      <c r="A28" s="3" t="s">
        <v>264</v>
      </c>
      <c r="B28" s="3"/>
      <c r="C28" s="3"/>
      <c r="D28" s="3"/>
      <c r="E28" s="3" t="s">
        <v>249</v>
      </c>
    </row>
    <row r="29" spans="1:5" ht="15">
      <c r="A29" s="3" t="s">
        <v>264</v>
      </c>
      <c r="B29" s="3"/>
      <c r="C29" s="3"/>
      <c r="D29" s="3"/>
      <c r="E29" s="3" t="s">
        <v>249</v>
      </c>
    </row>
    <row r="30" spans="1:5" ht="15">
      <c r="A30" s="3" t="s">
        <v>264</v>
      </c>
      <c r="B30" s="3"/>
      <c r="C30" s="3"/>
      <c r="D30" s="3"/>
      <c r="E30" s="3" t="s">
        <v>249</v>
      </c>
    </row>
    <row r="31" spans="1:5" ht="15">
      <c r="A31" s="3" t="s">
        <v>264</v>
      </c>
      <c r="B31" s="3" t="s">
        <v>272</v>
      </c>
      <c r="C31" s="3" t="s">
        <v>273</v>
      </c>
      <c r="D31" s="3" t="s">
        <v>274</v>
      </c>
      <c r="E31" s="3" t="s">
        <v>275</v>
      </c>
    </row>
    <row r="32" spans="1:5" ht="15">
      <c r="A32" s="3" t="s">
        <v>264</v>
      </c>
      <c r="B32" s="3" t="s">
        <v>276</v>
      </c>
      <c r="C32" s="3" t="s">
        <v>277</v>
      </c>
      <c r="D32" s="3" t="s">
        <v>278</v>
      </c>
      <c r="E32" s="3" t="s">
        <v>275</v>
      </c>
    </row>
    <row r="33" spans="1:5" ht="15">
      <c r="A33" s="3" t="s">
        <v>264</v>
      </c>
      <c r="B33" s="3" t="s">
        <v>272</v>
      </c>
      <c r="C33" s="3" t="s">
        <v>279</v>
      </c>
      <c r="D33" s="3" t="s">
        <v>280</v>
      </c>
      <c r="E33" s="3" t="s">
        <v>232</v>
      </c>
    </row>
    <row r="34" spans="1:5" ht="24">
      <c r="A34" s="3" t="s">
        <v>264</v>
      </c>
      <c r="B34" s="3" t="s">
        <v>272</v>
      </c>
      <c r="C34" s="3" t="s">
        <v>281</v>
      </c>
      <c r="D34" s="3" t="s">
        <v>282</v>
      </c>
      <c r="E34" s="3" t="s">
        <v>235</v>
      </c>
    </row>
    <row r="35" spans="1:5" ht="15">
      <c r="A35" s="3" t="s">
        <v>264</v>
      </c>
      <c r="B35" t="s">
        <v>276</v>
      </c>
      <c r="C35" t="s">
        <v>283</v>
      </c>
      <c r="D35" t="s">
        <v>284</v>
      </c>
      <c r="E35" s="3" t="s">
        <v>235</v>
      </c>
    </row>
    <row r="36" spans="1:5" ht="15">
      <c r="A36" s="3" t="s">
        <v>264</v>
      </c>
      <c r="B36" t="s">
        <v>272</v>
      </c>
      <c r="C36" t="s">
        <v>285</v>
      </c>
      <c r="D36" t="s">
        <v>286</v>
      </c>
      <c r="E36" s="3" t="s">
        <v>235</v>
      </c>
    </row>
  </sheetData>
  <autoFilter ref="A1:E34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38" customWidth="1"/>
    <col min="2" max="7" width="14" customWidth="1"/>
  </cols>
  <sheetData>
    <row r="1" spans="1:7" ht="42">
      <c r="A1" s="1" t="s">
        <v>287</v>
      </c>
      <c r="B1" s="1" t="s">
        <v>288</v>
      </c>
      <c r="C1" s="1" t="s">
        <v>289</v>
      </c>
      <c r="D1" s="1" t="s">
        <v>290</v>
      </c>
      <c r="E1" s="1" t="s">
        <v>291</v>
      </c>
      <c r="F1" s="1" t="s">
        <v>292</v>
      </c>
      <c r="G1" s="1" t="s">
        <v>293</v>
      </c>
    </row>
    <row r="2" spans="1:7">
      <c r="A2" s="4" t="s">
        <v>294</v>
      </c>
      <c r="B2" s="4" t="s">
        <v>295</v>
      </c>
      <c r="C2" s="4" t="s">
        <v>295</v>
      </c>
      <c r="D2" s="4" t="s">
        <v>295</v>
      </c>
      <c r="E2" s="4" t="s">
        <v>295</v>
      </c>
      <c r="F2" s="4" t="s">
        <v>295</v>
      </c>
      <c r="G2" s="4" t="s">
        <v>295</v>
      </c>
    </row>
    <row r="3" spans="1:7">
      <c r="A3" s="2" t="s">
        <v>296</v>
      </c>
      <c r="B3" s="1" t="s">
        <v>297</v>
      </c>
      <c r="C3" s="5" t="s">
        <v>298</v>
      </c>
      <c r="D3" s="6" t="s">
        <v>299</v>
      </c>
      <c r="E3" s="5" t="s">
        <v>298</v>
      </c>
      <c r="F3" s="7" t="s">
        <v>300</v>
      </c>
      <c r="G3" s="5" t="s">
        <v>298</v>
      </c>
    </row>
    <row r="4" spans="1:7">
      <c r="A4" s="2" t="s">
        <v>111</v>
      </c>
      <c r="B4" s="7" t="s">
        <v>300</v>
      </c>
      <c r="C4" s="7" t="s">
        <v>300</v>
      </c>
      <c r="D4" s="1" t="s">
        <v>297</v>
      </c>
      <c r="E4" s="5" t="s">
        <v>298</v>
      </c>
      <c r="F4" s="7" t="s">
        <v>300</v>
      </c>
      <c r="G4" s="6" t="s">
        <v>299</v>
      </c>
    </row>
    <row r="5" spans="1:7">
      <c r="A5" s="2" t="s">
        <v>301</v>
      </c>
      <c r="B5" s="7" t="s">
        <v>300</v>
      </c>
      <c r="C5" s="7" t="s">
        <v>300</v>
      </c>
      <c r="D5" s="1" t="s">
        <v>297</v>
      </c>
      <c r="E5" s="5" t="s">
        <v>298</v>
      </c>
      <c r="F5" s="5" t="s">
        <v>298</v>
      </c>
      <c r="G5" s="6" t="s">
        <v>299</v>
      </c>
    </row>
    <row r="6" spans="1:7">
      <c r="A6" s="2" t="s">
        <v>302</v>
      </c>
      <c r="B6" s="1" t="s">
        <v>297</v>
      </c>
      <c r="C6" s="5" t="s">
        <v>298</v>
      </c>
      <c r="D6" s="5" t="s">
        <v>298</v>
      </c>
      <c r="E6" s="7" t="s">
        <v>300</v>
      </c>
      <c r="F6" s="6" t="s">
        <v>299</v>
      </c>
      <c r="G6" s="7" t="s">
        <v>300</v>
      </c>
    </row>
    <row r="7" spans="1:7">
      <c r="A7" s="2" t="s">
        <v>303</v>
      </c>
      <c r="B7" s="5" t="s">
        <v>298</v>
      </c>
      <c r="C7" s="1" t="s">
        <v>297</v>
      </c>
      <c r="D7" s="6" t="s">
        <v>299</v>
      </c>
      <c r="E7" s="7" t="s">
        <v>300</v>
      </c>
      <c r="F7" s="7" t="s">
        <v>300</v>
      </c>
      <c r="G7" s="5" t="s">
        <v>298</v>
      </c>
    </row>
    <row r="8" spans="1:7">
      <c r="A8" s="2" t="s">
        <v>304</v>
      </c>
      <c r="B8" s="7" t="s">
        <v>300</v>
      </c>
      <c r="C8" s="7" t="s">
        <v>300</v>
      </c>
      <c r="D8" s="1" t="s">
        <v>297</v>
      </c>
      <c r="E8" s="5" t="s">
        <v>298</v>
      </c>
      <c r="F8" s="7" t="s">
        <v>300</v>
      </c>
      <c r="G8" s="6" t="s">
        <v>299</v>
      </c>
    </row>
    <row r="9" spans="1:7">
      <c r="A9" s="2" t="s">
        <v>305</v>
      </c>
      <c r="B9" s="7" t="s">
        <v>300</v>
      </c>
      <c r="C9" s="5" t="s">
        <v>298</v>
      </c>
      <c r="D9" s="1" t="s">
        <v>297</v>
      </c>
      <c r="E9" s="6" t="s">
        <v>299</v>
      </c>
      <c r="F9" s="7" t="s">
        <v>300</v>
      </c>
      <c r="G9" s="5" t="s">
        <v>298</v>
      </c>
    </row>
    <row r="10" spans="1:7">
      <c r="A10" s="2" t="s">
        <v>115</v>
      </c>
      <c r="B10" s="1" t="s">
        <v>297</v>
      </c>
      <c r="C10" s="7" t="s">
        <v>300</v>
      </c>
      <c r="D10" s="6" t="s">
        <v>299</v>
      </c>
      <c r="E10" s="5" t="s">
        <v>298</v>
      </c>
      <c r="F10" s="5" t="s">
        <v>298</v>
      </c>
      <c r="G10" s="5" t="s">
        <v>298</v>
      </c>
    </row>
    <row r="11" spans="1:7">
      <c r="A11" s="2" t="s">
        <v>306</v>
      </c>
      <c r="B11" s="7" t="s">
        <v>300</v>
      </c>
      <c r="C11" s="1" t="s">
        <v>297</v>
      </c>
      <c r="D11" s="6" t="s">
        <v>299</v>
      </c>
      <c r="E11" s="5" t="s">
        <v>298</v>
      </c>
      <c r="F11" s="7" t="s">
        <v>300</v>
      </c>
      <c r="G11" s="5" t="s">
        <v>298</v>
      </c>
    </row>
    <row r="12" spans="1:7">
      <c r="A12" s="2" t="s">
        <v>307</v>
      </c>
      <c r="B12" s="1" t="s">
        <v>297</v>
      </c>
      <c r="C12" s="6" t="s">
        <v>299</v>
      </c>
      <c r="D12" s="5" t="s">
        <v>298</v>
      </c>
      <c r="E12" s="7" t="s">
        <v>300</v>
      </c>
      <c r="F12" s="7" t="s">
        <v>300</v>
      </c>
      <c r="G12" s="7" t="s">
        <v>300</v>
      </c>
    </row>
    <row r="14" spans="1:7" ht="27.95">
      <c r="A14" s="8" t="s">
        <v>308</v>
      </c>
      <c r="B14" s="9" t="s">
        <v>309</v>
      </c>
      <c r="C14" s="10" t="s">
        <v>310</v>
      </c>
      <c r="D14" s="11" t="s">
        <v>311</v>
      </c>
      <c r="E14" s="12" t="s">
        <v>312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35" customWidth="1"/>
    <col min="2" max="4" width="14" customWidth="1"/>
  </cols>
  <sheetData>
    <row r="1" spans="1:4">
      <c r="A1" s="1" t="s">
        <v>313</v>
      </c>
      <c r="B1" s="1" t="s">
        <v>314</v>
      </c>
      <c r="C1" s="1" t="s">
        <v>315</v>
      </c>
      <c r="D1" s="1" t="s">
        <v>316</v>
      </c>
    </row>
    <row r="2" spans="1:4">
      <c r="A2" s="2" t="s">
        <v>317</v>
      </c>
      <c r="B2" s="3">
        <v>8</v>
      </c>
      <c r="C2" s="3">
        <v>9</v>
      </c>
      <c r="D2" s="13">
        <f>B2/C2</f>
        <v>0.88888888888888884</v>
      </c>
    </row>
    <row r="3" spans="1:4">
      <c r="A3" s="2" t="s">
        <v>318</v>
      </c>
      <c r="B3" s="3">
        <v>67</v>
      </c>
      <c r="C3" s="3">
        <v>150</v>
      </c>
      <c r="D3" s="13">
        <f>B3/C3</f>
        <v>0.44666666666666666</v>
      </c>
    </row>
    <row r="4" spans="1:4">
      <c r="A4" s="2" t="s">
        <v>319</v>
      </c>
      <c r="B4" s="3">
        <v>18</v>
      </c>
      <c r="C4" s="3">
        <v>35</v>
      </c>
      <c r="D4" s="13">
        <f>B4/C4</f>
        <v>0.51428571428571423</v>
      </c>
    </row>
    <row r="5" spans="1:4">
      <c r="A5" s="2" t="s">
        <v>320</v>
      </c>
      <c r="B5" s="3">
        <v>78</v>
      </c>
      <c r="C5" s="3">
        <v>100</v>
      </c>
      <c r="D5" s="13">
        <f>B5/C5</f>
        <v>0.78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E17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30" customWidth="1"/>
    <col min="2" max="3" width="18" customWidth="1"/>
    <col min="4" max="4" width="14" customWidth="1"/>
  </cols>
  <sheetData>
    <row r="1" spans="1:5">
      <c r="A1" s="1" t="s">
        <v>153</v>
      </c>
      <c r="B1" s="1" t="s">
        <v>321</v>
      </c>
      <c r="C1" s="1" t="s">
        <v>22</v>
      </c>
      <c r="D1" s="1" t="s">
        <v>322</v>
      </c>
    </row>
    <row r="2" spans="1:5">
      <c r="A2" s="2" t="s">
        <v>323</v>
      </c>
      <c r="B2" s="14">
        <v>450000</v>
      </c>
      <c r="C2" s="14">
        <v>420000</v>
      </c>
      <c r="D2" s="13">
        <f t="shared" ref="D2:D7" si="0">C2/B2</f>
        <v>0.93333333333333335</v>
      </c>
    </row>
    <row r="3" spans="1:5">
      <c r="A3" s="2" t="s">
        <v>324</v>
      </c>
      <c r="B3" s="14">
        <v>350000</v>
      </c>
      <c r="C3" s="14">
        <v>280000</v>
      </c>
      <c r="D3" s="13">
        <f t="shared" si="0"/>
        <v>0.8</v>
      </c>
    </row>
    <row r="4" spans="1:5">
      <c r="A4" s="2" t="s">
        <v>325</v>
      </c>
      <c r="B4" s="14">
        <v>120000</v>
      </c>
      <c r="C4" s="14">
        <v>95000</v>
      </c>
      <c r="D4" s="13">
        <f t="shared" si="0"/>
        <v>0.79166666666666663</v>
      </c>
    </row>
    <row r="5" spans="1:5">
      <c r="A5" s="2" t="s">
        <v>326</v>
      </c>
      <c r="B5" s="14">
        <v>180000</v>
      </c>
      <c r="C5" s="14">
        <v>155000</v>
      </c>
      <c r="D5" s="13">
        <f t="shared" si="0"/>
        <v>0.86111111111111116</v>
      </c>
    </row>
    <row r="6" spans="1:5">
      <c r="A6" s="2" t="s">
        <v>327</v>
      </c>
      <c r="B6" s="14">
        <v>100000</v>
      </c>
      <c r="C6" s="14">
        <v>50000</v>
      </c>
      <c r="D6" s="13">
        <f t="shared" si="0"/>
        <v>0.5</v>
      </c>
    </row>
    <row r="7" spans="1:5">
      <c r="A7" s="15" t="s">
        <v>328</v>
      </c>
      <c r="B7" s="16">
        <f>SUM(B2:B6)</f>
        <v>1200000</v>
      </c>
      <c r="C7" s="16">
        <f>SUM(C2:C6)</f>
        <v>1000000</v>
      </c>
      <c r="D7" s="17">
        <f t="shared" si="0"/>
        <v>0.83333333333333337</v>
      </c>
    </row>
    <row r="9" spans="1:5" ht="15.6">
      <c r="A9" s="18" t="s">
        <v>329</v>
      </c>
    </row>
    <row r="10" spans="1:5" ht="27.95">
      <c r="A10" s="1" t="s">
        <v>330</v>
      </c>
      <c r="B10" s="1" t="s">
        <v>331</v>
      </c>
      <c r="C10" s="1" t="s">
        <v>22</v>
      </c>
      <c r="D10" s="1" t="s">
        <v>332</v>
      </c>
      <c r="E10" s="1" t="s">
        <v>333</v>
      </c>
    </row>
    <row r="11" spans="1:5">
      <c r="A11" s="3" t="s">
        <v>54</v>
      </c>
      <c r="B11" s="14">
        <v>80000</v>
      </c>
      <c r="C11" s="14">
        <v>85000</v>
      </c>
      <c r="D11" s="19">
        <f t="shared" ref="D11:D17" si="1">C11-B11</f>
        <v>5000</v>
      </c>
      <c r="E11" s="20">
        <f t="shared" ref="E11:E17" si="2">D11/B11</f>
        <v>6.25E-2</v>
      </c>
    </row>
    <row r="12" spans="1:5">
      <c r="A12" s="3" t="s">
        <v>112</v>
      </c>
      <c r="B12" s="14">
        <v>90000</v>
      </c>
      <c r="C12" s="14">
        <v>95000</v>
      </c>
      <c r="D12" s="19">
        <f t="shared" si="1"/>
        <v>5000</v>
      </c>
      <c r="E12" s="20">
        <f t="shared" si="2"/>
        <v>5.5555555555555552E-2</v>
      </c>
    </row>
    <row r="13" spans="1:5">
      <c r="A13" s="3" t="s">
        <v>63</v>
      </c>
      <c r="B13" s="14">
        <v>85000</v>
      </c>
      <c r="C13" s="14">
        <v>75000</v>
      </c>
      <c r="D13" s="19">
        <f t="shared" si="1"/>
        <v>-10000</v>
      </c>
      <c r="E13" s="20">
        <f t="shared" si="2"/>
        <v>-0.11764705882352941</v>
      </c>
    </row>
    <row r="14" spans="1:5">
      <c r="A14" s="3" t="s">
        <v>85</v>
      </c>
      <c r="B14" s="14">
        <v>100000</v>
      </c>
      <c r="C14" s="14">
        <v>110000</v>
      </c>
      <c r="D14" s="19">
        <f t="shared" si="1"/>
        <v>10000</v>
      </c>
      <c r="E14" s="20">
        <f t="shared" si="2"/>
        <v>0.1</v>
      </c>
    </row>
    <row r="15" spans="1:5">
      <c r="A15" s="3" t="s">
        <v>78</v>
      </c>
      <c r="B15" s="14">
        <v>95000</v>
      </c>
      <c r="C15" s="14">
        <v>105000</v>
      </c>
      <c r="D15" s="19">
        <f t="shared" si="1"/>
        <v>10000</v>
      </c>
      <c r="E15" s="20">
        <f t="shared" si="2"/>
        <v>0.10526315789473684</v>
      </c>
    </row>
    <row r="16" spans="1:5">
      <c r="A16" s="3" t="s">
        <v>55</v>
      </c>
      <c r="B16" s="14">
        <v>100000</v>
      </c>
      <c r="C16" s="14">
        <v>90000</v>
      </c>
      <c r="D16" s="19">
        <f t="shared" si="1"/>
        <v>-10000</v>
      </c>
      <c r="E16" s="20">
        <f t="shared" si="2"/>
        <v>-0.1</v>
      </c>
    </row>
    <row r="17" spans="1:5">
      <c r="A17" s="3" t="s">
        <v>116</v>
      </c>
      <c r="B17" s="14">
        <v>80000</v>
      </c>
      <c r="C17" s="14">
        <v>60000</v>
      </c>
      <c r="D17" s="19">
        <f t="shared" si="1"/>
        <v>-20000</v>
      </c>
      <c r="E17" s="20">
        <f t="shared" si="2"/>
        <v>-0.25</v>
      </c>
    </row>
  </sheetData>
  <autoFilter ref="A1:E17" xr:uid="{00000000-0009-0000-0000-000008000000}"/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E8584F"/>
  </sheetPr>
  <dimension ref="A1:E9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16" customWidth="1"/>
    <col min="2" max="2" width="50" customWidth="1"/>
    <col min="3" max="3" width="16" customWidth="1"/>
    <col min="4" max="4" width="22" customWidth="1"/>
    <col min="5" max="5" width="16" customWidth="1"/>
  </cols>
  <sheetData>
    <row r="1" spans="1:5">
      <c r="A1" s="1" t="s">
        <v>148</v>
      </c>
      <c r="B1" s="1" t="s">
        <v>149</v>
      </c>
      <c r="C1" s="1" t="s">
        <v>334</v>
      </c>
      <c r="D1" s="1" t="s">
        <v>31</v>
      </c>
      <c r="E1" s="1" t="s">
        <v>32</v>
      </c>
    </row>
    <row r="2" spans="1:5" ht="24">
      <c r="A2" s="4" t="s">
        <v>335</v>
      </c>
      <c r="B2" s="4" t="s">
        <v>157</v>
      </c>
      <c r="C2" s="4" t="s">
        <v>163</v>
      </c>
      <c r="D2" s="4" t="s">
        <v>336</v>
      </c>
      <c r="E2" s="4" t="s">
        <v>337</v>
      </c>
    </row>
    <row r="3" spans="1:5" ht="24.95">
      <c r="A3" s="3" t="s">
        <v>338</v>
      </c>
      <c r="B3" s="3" t="s">
        <v>339</v>
      </c>
      <c r="C3" s="3" t="s">
        <v>340</v>
      </c>
      <c r="D3" s="3" t="s">
        <v>224</v>
      </c>
      <c r="E3" s="3" t="s">
        <v>137</v>
      </c>
    </row>
    <row r="4" spans="1:5" ht="24.95">
      <c r="A4" s="3" t="s">
        <v>338</v>
      </c>
      <c r="B4" s="3" t="s">
        <v>341</v>
      </c>
      <c r="C4" s="3" t="s">
        <v>342</v>
      </c>
      <c r="D4" s="3" t="s">
        <v>224</v>
      </c>
      <c r="E4" s="3" t="s">
        <v>137</v>
      </c>
    </row>
    <row r="5" spans="1:5" ht="24.95">
      <c r="A5" s="3" t="s">
        <v>338</v>
      </c>
      <c r="B5" s="3" t="s">
        <v>343</v>
      </c>
      <c r="C5" s="3" t="s">
        <v>344</v>
      </c>
      <c r="D5" s="3" t="s">
        <v>224</v>
      </c>
      <c r="E5" s="3" t="s">
        <v>137</v>
      </c>
    </row>
    <row r="6" spans="1:5" ht="24.95">
      <c r="A6" s="3" t="s">
        <v>345</v>
      </c>
      <c r="B6" s="3" t="s">
        <v>346</v>
      </c>
      <c r="C6" s="3" t="s">
        <v>116</v>
      </c>
      <c r="D6" s="3" t="s">
        <v>50</v>
      </c>
      <c r="E6" s="3" t="s">
        <v>51</v>
      </c>
    </row>
    <row r="7" spans="1:5">
      <c r="A7" s="3" t="s">
        <v>345</v>
      </c>
      <c r="B7" s="3" t="s">
        <v>347</v>
      </c>
      <c r="C7" s="3" t="s">
        <v>116</v>
      </c>
      <c r="D7" s="3" t="s">
        <v>348</v>
      </c>
      <c r="E7" s="3" t="s">
        <v>51</v>
      </c>
    </row>
    <row r="8" spans="1:5">
      <c r="A8" s="3" t="s">
        <v>345</v>
      </c>
      <c r="B8" s="3" t="s">
        <v>349</v>
      </c>
      <c r="C8" s="3" t="s">
        <v>117</v>
      </c>
      <c r="D8" s="3" t="s">
        <v>68</v>
      </c>
      <c r="E8" s="3" t="s">
        <v>51</v>
      </c>
    </row>
    <row r="9" spans="1:5">
      <c r="A9" s="3" t="s">
        <v>345</v>
      </c>
      <c r="B9" s="3" t="s">
        <v>350</v>
      </c>
      <c r="C9" s="3" t="s">
        <v>55</v>
      </c>
      <c r="D9" s="3" t="s">
        <v>351</v>
      </c>
      <c r="E9" s="3" t="s">
        <v>51</v>
      </c>
    </row>
  </sheetData>
  <autoFilter ref="A1:E9" xr:uid="{00000000-0009-0000-0000-000009000000}"/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Props1.xml><?xml version="1.0" encoding="utf-8"?>
<ds:datastoreItem xmlns:ds="http://schemas.openxmlformats.org/officeDocument/2006/customXml" ds:itemID="{3A583E7E-375C-48FF-BB7B-E76A0C9079FB}"/>
</file>

<file path=customXml/itemProps2.xml><?xml version="1.0" encoding="utf-8"?>
<ds:datastoreItem xmlns:ds="http://schemas.openxmlformats.org/officeDocument/2006/customXml" ds:itemID="{82B74F61-742C-4C28-9986-EBE675E88F9C}"/>
</file>

<file path=customXml/itemProps3.xml><?xml version="1.0" encoding="utf-8"?>
<ds:datastoreItem xmlns:ds="http://schemas.openxmlformats.org/officeDocument/2006/customXml" ds:itemID="{9DEC2584-7248-478C-8D26-41D0EBEC5C0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Godoy Fernandes</cp:lastModifiedBy>
  <cp:revision>0</cp:revision>
  <dcterms:created xsi:type="dcterms:W3CDTF">2026-02-10T13:29:11Z</dcterms:created>
  <dcterms:modified xsi:type="dcterms:W3CDTF">2026-02-12T20:01:21Z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